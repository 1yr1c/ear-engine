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1c6ead3ae64044b/Stirling/"/>
    </mc:Choice>
  </mc:AlternateContent>
  <xr:revisionPtr revIDLastSave="0" documentId="8_{1CBF88F8-7EFB-481D-84EE-7D7E10C2D53C}" xr6:coauthVersionLast="47" xr6:coauthVersionMax="47" xr10:uidLastSave="{00000000-0000-0000-0000-000000000000}"/>
  <bookViews>
    <workbookView xWindow="-108" yWindow="-108" windowWidth="23256" windowHeight="12456" xr2:uid="{7937FC57-1D14-4432-AD23-22530E8E3C91}"/>
  </bookViews>
  <sheets>
    <sheet name="Module 2_CarbonEmissions" sheetId="1" r:id="rId1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2" i="1"/>
</calcChain>
</file>

<file path=xl/sharedStrings.xml><?xml version="1.0" encoding="utf-8"?>
<sst xmlns="http://schemas.openxmlformats.org/spreadsheetml/2006/main" count="277" uniqueCount="52">
  <si>
    <t>Year</t>
  </si>
  <si>
    <t>Yearly emissions (scope 1 + scoope 2)</t>
  </si>
  <si>
    <t>emissions_intensity</t>
  </si>
  <si>
    <t>Revenue per year ($bn)</t>
  </si>
  <si>
    <t>Holding</t>
  </si>
  <si>
    <t>SHEL</t>
  </si>
  <si>
    <t>BP</t>
  </si>
  <si>
    <t>GLEN</t>
  </si>
  <si>
    <t>RIO</t>
  </si>
  <si>
    <t>AAL</t>
  </si>
  <si>
    <t>BA</t>
  </si>
  <si>
    <t>RR</t>
  </si>
  <si>
    <t>AZN</t>
  </si>
  <si>
    <t>GSK</t>
  </si>
  <si>
    <t>HSBA</t>
  </si>
  <si>
    <t>BARC</t>
  </si>
  <si>
    <t>LLOY</t>
  </si>
  <si>
    <t>ULVR</t>
  </si>
  <si>
    <t>BATS</t>
  </si>
  <si>
    <t>NG</t>
  </si>
  <si>
    <t>https://www.shell.com/sustainability</t>
  </si>
  <si>
    <t>https://www.bp.com/en/global/corporate/sustainability.html</t>
  </si>
  <si>
    <t>https://www.glencore.com/sustainability</t>
  </si>
  <si>
    <t>https://www.riotinto.com/sustainability</t>
  </si>
  <si>
    <t xml:space="preserve">
https://www.angloamerican.com/sustainability-strategy</t>
  </si>
  <si>
    <t>https://www.boeing.com/innovation/sustainability</t>
  </si>
  <si>
    <t>https://www.rolls-royce.com/sustainability</t>
  </si>
  <si>
    <t>https://www.astrazeneca.com/sustainability.html</t>
  </si>
  <si>
    <t>https://www.gsk.com/en-gb/responsibility</t>
  </si>
  <si>
    <t>https://www.hsbc.com/esg</t>
  </si>
  <si>
    <t>https://home.barclays/sustainability</t>
  </si>
  <si>
    <t>https://www.lloydsbankinggroup.com/</t>
  </si>
  <si>
    <t>https://www.unilever.com/planet-and-society</t>
  </si>
  <si>
    <t>https://www.bat.com/sustainability</t>
  </si>
  <si>
    <t>https://www.nationalgrid.com/responsibility</t>
  </si>
  <si>
    <t>https://www.shell.com/investors</t>
  </si>
  <si>
    <t>https://www.glencore.com/investors</t>
  </si>
  <si>
    <t>https://www.angloamerican.com/investors</t>
  </si>
  <si>
    <t>https://www.rolls-royce.com/investors</t>
  </si>
  <si>
    <t>https://www.hsbc.com/investors</t>
  </si>
  <si>
    <t>https://www.bat.com/investors</t>
  </si>
  <si>
    <t>https://www.nationalgrid.com/investors</t>
  </si>
  <si>
    <t>Link for revenue</t>
  </si>
  <si>
    <t>https://www.bp.com/en/global/corporate/investors.html</t>
  </si>
  <si>
    <t>https://www.riotinto.com/en/invest</t>
  </si>
  <si>
    <t>https://investors.boeing.com/investors/overview/default.aspx</t>
  </si>
  <si>
    <t>https://www.astrazeneca.com/investor-relations.html</t>
  </si>
  <si>
    <t>https://www.gsk.com/en-gb/investors/</t>
  </si>
  <si>
    <t>https://home.barclays/investor-relations/</t>
  </si>
  <si>
    <t>https://www.lloydsbankinggroup.com/investors.html</t>
  </si>
  <si>
    <t>https://www.unilever.com/investors/</t>
  </si>
  <si>
    <t>Link for yearly emissions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</si>
</sst>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0.000"/>
  </numFmts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rgb="FF000000"/>
      <name val="Aptos"/>
      <family val="2"/>
    </font>
    <font>
      <b/>
      <sz val="10"/>
      <color rgb="FF000000"/>
      <name val="Aptos"/>
      <family val="2"/>
    </font>
    <font>
      <sz val="8"/>
      <name val="Arial"/>
      <family val="2"/>
    </font>
    <font>
      <u/>
      <sz val="11"/>
      <color theme="10"/>
      <name val="Aptos Narrow"/>
      <family val="2"/>
      <scheme val="minor"/>
    </font>
    <font>
      <u/>
      <sz val="11"/>
      <name val="Aptos Narrow"/>
      <family val="2"/>
      <scheme val="minor"/>
    </font>
    <font>
      <sz val="1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36">
    <xf numFmtId="0" fontId="0" fillId="0" borderId="0" xfId="0"/>
    <xf numFmtId="0" fontId="0" fillId="0" borderId="0" xfId="0" applyBorder="1"/>
    <xf numFmtId="0" fontId="1" fillId="2" borderId="11" xfId="0" applyFont="1" applyFill="1" applyBorder="1"/>
    <xf numFmtId="0" fontId="1" fillId="2" borderId="12" xfId="0" applyFont="1" applyFill="1" applyBorder="1"/>
    <xf numFmtId="0" fontId="3" fillId="2" borderId="13" xfId="0" applyFont="1" applyFill="1" applyBorder="1"/>
    <xf numFmtId="0" fontId="1" fillId="2" borderId="14" xfId="0" applyFont="1" applyFill="1" applyBorder="1"/>
    <xf numFmtId="0" fontId="1" fillId="2" borderId="15" xfId="0" applyFont="1" applyFill="1" applyBorder="1"/>
    <xf numFmtId="0" fontId="4" fillId="3" borderId="4" xfId="0" applyFont="1" applyFill="1" applyBorder="1"/>
    <xf numFmtId="0" fontId="6" fillId="3" borderId="4" xfId="1" applyFont="1" applyFill="1" applyBorder="1"/>
    <xf numFmtId="0" fontId="6" fillId="3" borderId="16" xfId="1" applyFont="1" applyFill="1" applyBorder="1"/>
    <xf numFmtId="0" fontId="4" fillId="3" borderId="1" xfId="0" applyFont="1" applyFill="1" applyBorder="1"/>
    <xf numFmtId="0" fontId="6" fillId="3" borderId="1" xfId="1" applyFont="1" applyFill="1" applyBorder="1"/>
    <xf numFmtId="0" fontId="6" fillId="3" borderId="17" xfId="1" applyFont="1" applyFill="1" applyBorder="1"/>
    <xf numFmtId="3" fontId="7" fillId="3" borderId="1" xfId="0" applyNumberFormat="1" applyFont="1" applyFill="1" applyBorder="1"/>
    <xf numFmtId="3" fontId="7" fillId="3" borderId="1" xfId="0" applyNumberFormat="1" applyFont="1" applyFill="1" applyBorder="1" applyAlignment="1">
      <alignment wrapText="1"/>
    </xf>
    <xf numFmtId="0" fontId="7" fillId="3" borderId="1" xfId="0" applyFont="1" applyFill="1" applyBorder="1"/>
    <xf numFmtId="0" fontId="7" fillId="3" borderId="17" xfId="0" applyFont="1" applyFill="1" applyBorder="1"/>
    <xf numFmtId="0" fontId="4" fillId="3" borderId="8" xfId="0" applyFont="1" applyFill="1" applyBorder="1"/>
    <xf numFmtId="3" fontId="7" fillId="3" borderId="8" xfId="0" applyNumberFormat="1" applyFont="1" applyFill="1" applyBorder="1"/>
    <xf numFmtId="0" fontId="6" fillId="3" borderId="18" xfId="1" applyFont="1" applyFill="1" applyBorder="1"/>
    <xf numFmtId="0" fontId="4" fillId="3" borderId="2" xfId="0" applyFont="1" applyFill="1" applyBorder="1"/>
    <xf numFmtId="0" fontId="6" fillId="3" borderId="2" xfId="1" applyFont="1" applyFill="1" applyBorder="1"/>
    <xf numFmtId="169" fontId="2" fillId="3" borderId="5" xfId="0" applyNumberFormat="1" applyFont="1" applyFill="1" applyBorder="1"/>
    <xf numFmtId="0" fontId="0" fillId="3" borderId="3" xfId="0" applyFont="1" applyFill="1" applyBorder="1"/>
    <xf numFmtId="3" fontId="0" fillId="3" borderId="4" xfId="0" applyNumberFormat="1" applyFont="1" applyFill="1" applyBorder="1"/>
    <xf numFmtId="0" fontId="0" fillId="3" borderId="4" xfId="0" applyFont="1" applyFill="1" applyBorder="1"/>
    <xf numFmtId="0" fontId="0" fillId="3" borderId="6" xfId="0" applyFont="1" applyFill="1" applyBorder="1"/>
    <xf numFmtId="3" fontId="0" fillId="3" borderId="1" xfId="0" applyNumberFormat="1" applyFont="1" applyFill="1" applyBorder="1"/>
    <xf numFmtId="0" fontId="0" fillId="3" borderId="1" xfId="0" applyFont="1" applyFill="1" applyBorder="1"/>
    <xf numFmtId="0" fontId="0" fillId="3" borderId="7" xfId="0" applyFont="1" applyFill="1" applyBorder="1"/>
    <xf numFmtId="3" fontId="0" fillId="3" borderId="8" xfId="0" applyNumberFormat="1" applyFont="1" applyFill="1" applyBorder="1"/>
    <xf numFmtId="0" fontId="0" fillId="3" borderId="8" xfId="0" applyFont="1" applyFill="1" applyBorder="1"/>
    <xf numFmtId="0" fontId="0" fillId="3" borderId="9" xfId="0" applyFont="1" applyFill="1" applyBorder="1"/>
    <xf numFmtId="3" fontId="0" fillId="3" borderId="2" xfId="0" applyNumberFormat="1" applyFont="1" applyFill="1" applyBorder="1"/>
    <xf numFmtId="0" fontId="0" fillId="3" borderId="2" xfId="0" applyFont="1" applyFill="1" applyBorder="1"/>
    <xf numFmtId="169" fontId="2" fillId="3" borderId="10" xfId="0" applyNumberFormat="1" applyFont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investors.boeing.com/investors/overview/default.aspx" TargetMode="External"/><Relationship Id="rId21" Type="http://schemas.openxmlformats.org/officeDocument/2006/relationships/hyperlink" Target="https://www.shell.com/investors" TargetMode="External"/><Relationship Id="rId42" Type="http://schemas.openxmlformats.org/officeDocument/2006/relationships/hyperlink" Target="https://www.astrazeneca.com/investor-relations.html" TargetMode="External"/><Relationship Id="rId47" Type="http://schemas.openxmlformats.org/officeDocument/2006/relationships/hyperlink" Target="https://www.bat.com/investors" TargetMode="External"/><Relationship Id="rId63" Type="http://schemas.openxmlformats.org/officeDocument/2006/relationships/hyperlink" Target="https://www.shell.com/investors" TargetMode="External"/><Relationship Id="rId68" Type="http://schemas.openxmlformats.org/officeDocument/2006/relationships/hyperlink" Target="https://investors.boeing.com/investors/overview/default.aspx" TargetMode="External"/><Relationship Id="rId84" Type="http://schemas.openxmlformats.org/officeDocument/2006/relationships/hyperlink" Target="https://www.astrazeneca.com/investor-relations.html" TargetMode="External"/><Relationship Id="rId89" Type="http://schemas.openxmlformats.org/officeDocument/2006/relationships/hyperlink" Target="https://www.bat.com/investors" TargetMode="External"/><Relationship Id="rId16" Type="http://schemas.openxmlformats.org/officeDocument/2006/relationships/hyperlink" Target="https://www.hsbc.com/investors" TargetMode="External"/><Relationship Id="rId11" Type="http://schemas.openxmlformats.org/officeDocument/2006/relationships/hyperlink" Target="https://www.angloamerican.com/investors" TargetMode="External"/><Relationship Id="rId32" Type="http://schemas.openxmlformats.org/officeDocument/2006/relationships/hyperlink" Target="https://www.lloydsbankinggroup.com/investors.html" TargetMode="External"/><Relationship Id="rId37" Type="http://schemas.openxmlformats.org/officeDocument/2006/relationships/hyperlink" Target="https://www.glencore.com/investors" TargetMode="External"/><Relationship Id="rId53" Type="http://schemas.openxmlformats.org/officeDocument/2006/relationships/hyperlink" Target="https://www.angloamerican.com/investors" TargetMode="External"/><Relationship Id="rId58" Type="http://schemas.openxmlformats.org/officeDocument/2006/relationships/hyperlink" Target="https://www.hsbc.com/investors" TargetMode="External"/><Relationship Id="rId74" Type="http://schemas.openxmlformats.org/officeDocument/2006/relationships/hyperlink" Target="https://www.lloydsbankinggroup.com/investors.html" TargetMode="External"/><Relationship Id="rId79" Type="http://schemas.openxmlformats.org/officeDocument/2006/relationships/hyperlink" Target="https://www.glencore.com/investors" TargetMode="External"/><Relationship Id="rId5" Type="http://schemas.openxmlformats.org/officeDocument/2006/relationships/hyperlink" Target="https://www.shell.com/sustainability" TargetMode="External"/><Relationship Id="rId90" Type="http://schemas.openxmlformats.org/officeDocument/2006/relationships/hyperlink" Target="https://www.nationalgrid.com/investors" TargetMode="External"/><Relationship Id="rId14" Type="http://schemas.openxmlformats.org/officeDocument/2006/relationships/hyperlink" Target="https://www.astrazeneca.com/investor-relations.html" TargetMode="External"/><Relationship Id="rId22" Type="http://schemas.openxmlformats.org/officeDocument/2006/relationships/hyperlink" Target="https://www.bp.com/en/global/corporate/investors.html" TargetMode="External"/><Relationship Id="rId27" Type="http://schemas.openxmlformats.org/officeDocument/2006/relationships/hyperlink" Target="https://www.rolls-royce.com/investors" TargetMode="External"/><Relationship Id="rId30" Type="http://schemas.openxmlformats.org/officeDocument/2006/relationships/hyperlink" Target="https://www.hsbc.com/investors" TargetMode="External"/><Relationship Id="rId35" Type="http://schemas.openxmlformats.org/officeDocument/2006/relationships/hyperlink" Target="https://www.shell.com/investors" TargetMode="External"/><Relationship Id="rId43" Type="http://schemas.openxmlformats.org/officeDocument/2006/relationships/hyperlink" Target="https://www.gsk.com/en-gb/investors/" TargetMode="External"/><Relationship Id="rId48" Type="http://schemas.openxmlformats.org/officeDocument/2006/relationships/hyperlink" Target="https://www.nationalgrid.com/investors" TargetMode="External"/><Relationship Id="rId56" Type="http://schemas.openxmlformats.org/officeDocument/2006/relationships/hyperlink" Target="https://www.astrazeneca.com/investor-relations.html" TargetMode="External"/><Relationship Id="rId64" Type="http://schemas.openxmlformats.org/officeDocument/2006/relationships/hyperlink" Target="https://www.bp.com/en/global/corporate/investors.html" TargetMode="External"/><Relationship Id="rId69" Type="http://schemas.openxmlformats.org/officeDocument/2006/relationships/hyperlink" Target="https://www.rolls-royce.com/investors" TargetMode="External"/><Relationship Id="rId77" Type="http://schemas.openxmlformats.org/officeDocument/2006/relationships/hyperlink" Target="https://www.shell.com/investors" TargetMode="External"/><Relationship Id="rId8" Type="http://schemas.openxmlformats.org/officeDocument/2006/relationships/hyperlink" Target="https://www.bp.com/en/global/corporate/investors.html" TargetMode="External"/><Relationship Id="rId51" Type="http://schemas.openxmlformats.org/officeDocument/2006/relationships/hyperlink" Target="https://www.glencore.com/investors" TargetMode="External"/><Relationship Id="rId72" Type="http://schemas.openxmlformats.org/officeDocument/2006/relationships/hyperlink" Target="https://www.hsbc.com/investors" TargetMode="External"/><Relationship Id="rId80" Type="http://schemas.openxmlformats.org/officeDocument/2006/relationships/hyperlink" Target="https://www.riotinto.com/en/invest" TargetMode="External"/><Relationship Id="rId85" Type="http://schemas.openxmlformats.org/officeDocument/2006/relationships/hyperlink" Target="https://www.gsk.com/en-gb/investors/" TargetMode="External"/><Relationship Id="rId3" Type="http://schemas.openxmlformats.org/officeDocument/2006/relationships/hyperlink" Target="https://www.shell.com/sustainability" TargetMode="External"/><Relationship Id="rId12" Type="http://schemas.openxmlformats.org/officeDocument/2006/relationships/hyperlink" Target="https://investors.boeing.com/investors/overview/default.aspx" TargetMode="External"/><Relationship Id="rId17" Type="http://schemas.openxmlformats.org/officeDocument/2006/relationships/hyperlink" Target="https://home.barclays/investor-relations/" TargetMode="External"/><Relationship Id="rId25" Type="http://schemas.openxmlformats.org/officeDocument/2006/relationships/hyperlink" Target="https://www.angloamerican.com/investors" TargetMode="External"/><Relationship Id="rId33" Type="http://schemas.openxmlformats.org/officeDocument/2006/relationships/hyperlink" Target="https://www.bat.com/investors" TargetMode="External"/><Relationship Id="rId38" Type="http://schemas.openxmlformats.org/officeDocument/2006/relationships/hyperlink" Target="https://www.riotinto.com/en/invest" TargetMode="External"/><Relationship Id="rId46" Type="http://schemas.openxmlformats.org/officeDocument/2006/relationships/hyperlink" Target="https://www.lloydsbankinggroup.com/investors.html" TargetMode="External"/><Relationship Id="rId59" Type="http://schemas.openxmlformats.org/officeDocument/2006/relationships/hyperlink" Target="https://home.barclays/investor-relations/" TargetMode="External"/><Relationship Id="rId67" Type="http://schemas.openxmlformats.org/officeDocument/2006/relationships/hyperlink" Target="https://www.angloamerican.com/investors" TargetMode="External"/><Relationship Id="rId20" Type="http://schemas.openxmlformats.org/officeDocument/2006/relationships/hyperlink" Target="https://www.nationalgrid.com/investors" TargetMode="External"/><Relationship Id="rId41" Type="http://schemas.openxmlformats.org/officeDocument/2006/relationships/hyperlink" Target="https://www.rolls-royce.com/investors" TargetMode="External"/><Relationship Id="rId54" Type="http://schemas.openxmlformats.org/officeDocument/2006/relationships/hyperlink" Target="https://investors.boeing.com/investors/overview/default.aspx" TargetMode="External"/><Relationship Id="rId62" Type="http://schemas.openxmlformats.org/officeDocument/2006/relationships/hyperlink" Target="https://www.nationalgrid.com/investors" TargetMode="External"/><Relationship Id="rId70" Type="http://schemas.openxmlformats.org/officeDocument/2006/relationships/hyperlink" Target="https://www.astrazeneca.com/investor-relations.html" TargetMode="External"/><Relationship Id="rId75" Type="http://schemas.openxmlformats.org/officeDocument/2006/relationships/hyperlink" Target="https://www.bat.com/investors" TargetMode="External"/><Relationship Id="rId83" Type="http://schemas.openxmlformats.org/officeDocument/2006/relationships/hyperlink" Target="https://www.rolls-royce.com/investors" TargetMode="External"/><Relationship Id="rId88" Type="http://schemas.openxmlformats.org/officeDocument/2006/relationships/hyperlink" Target="https://www.lloydsbankinggroup.com/investors.html" TargetMode="External"/><Relationship Id="rId1" Type="http://schemas.openxmlformats.org/officeDocument/2006/relationships/hyperlink" Target="https://www.shell.com/sustainability" TargetMode="External"/><Relationship Id="rId6" Type="http://schemas.openxmlformats.org/officeDocument/2006/relationships/hyperlink" Target="https://www.shell.com/sustainability" TargetMode="External"/><Relationship Id="rId15" Type="http://schemas.openxmlformats.org/officeDocument/2006/relationships/hyperlink" Target="https://www.gsk.com/en-gb/investors/" TargetMode="External"/><Relationship Id="rId23" Type="http://schemas.openxmlformats.org/officeDocument/2006/relationships/hyperlink" Target="https://www.glencore.com/investors" TargetMode="External"/><Relationship Id="rId28" Type="http://schemas.openxmlformats.org/officeDocument/2006/relationships/hyperlink" Target="https://www.astrazeneca.com/investor-relations.html" TargetMode="External"/><Relationship Id="rId36" Type="http://schemas.openxmlformats.org/officeDocument/2006/relationships/hyperlink" Target="https://www.bp.com/en/global/corporate/investors.html" TargetMode="External"/><Relationship Id="rId49" Type="http://schemas.openxmlformats.org/officeDocument/2006/relationships/hyperlink" Target="https://www.shell.com/investors" TargetMode="External"/><Relationship Id="rId57" Type="http://schemas.openxmlformats.org/officeDocument/2006/relationships/hyperlink" Target="https://www.gsk.com/en-gb/investors/" TargetMode="External"/><Relationship Id="rId10" Type="http://schemas.openxmlformats.org/officeDocument/2006/relationships/hyperlink" Target="https://www.riotinto.com/en/invest" TargetMode="External"/><Relationship Id="rId31" Type="http://schemas.openxmlformats.org/officeDocument/2006/relationships/hyperlink" Target="https://home.barclays/investor-relations/" TargetMode="External"/><Relationship Id="rId44" Type="http://schemas.openxmlformats.org/officeDocument/2006/relationships/hyperlink" Target="https://www.hsbc.com/investors" TargetMode="External"/><Relationship Id="rId52" Type="http://schemas.openxmlformats.org/officeDocument/2006/relationships/hyperlink" Target="https://www.riotinto.com/en/invest" TargetMode="External"/><Relationship Id="rId60" Type="http://schemas.openxmlformats.org/officeDocument/2006/relationships/hyperlink" Target="https://www.lloydsbankinggroup.com/investors.html" TargetMode="External"/><Relationship Id="rId65" Type="http://schemas.openxmlformats.org/officeDocument/2006/relationships/hyperlink" Target="https://www.glencore.com/investors" TargetMode="External"/><Relationship Id="rId73" Type="http://schemas.openxmlformats.org/officeDocument/2006/relationships/hyperlink" Target="https://home.barclays/investor-relations/" TargetMode="External"/><Relationship Id="rId78" Type="http://schemas.openxmlformats.org/officeDocument/2006/relationships/hyperlink" Target="https://www.bp.com/en/global/corporate/investors.html" TargetMode="External"/><Relationship Id="rId81" Type="http://schemas.openxmlformats.org/officeDocument/2006/relationships/hyperlink" Target="https://www.angloamerican.com/investors" TargetMode="External"/><Relationship Id="rId86" Type="http://schemas.openxmlformats.org/officeDocument/2006/relationships/hyperlink" Target="https://www.hsbc.com/investors" TargetMode="External"/><Relationship Id="rId4" Type="http://schemas.openxmlformats.org/officeDocument/2006/relationships/hyperlink" Target="https://www.shell.com/sustainability" TargetMode="External"/><Relationship Id="rId9" Type="http://schemas.openxmlformats.org/officeDocument/2006/relationships/hyperlink" Target="https://www.glencore.com/investors" TargetMode="External"/><Relationship Id="rId13" Type="http://schemas.openxmlformats.org/officeDocument/2006/relationships/hyperlink" Target="https://www.rolls-royce.com/investors" TargetMode="External"/><Relationship Id="rId18" Type="http://schemas.openxmlformats.org/officeDocument/2006/relationships/hyperlink" Target="https://www.lloydsbankinggroup.com/investors.html" TargetMode="External"/><Relationship Id="rId39" Type="http://schemas.openxmlformats.org/officeDocument/2006/relationships/hyperlink" Target="https://www.angloamerican.com/investors" TargetMode="External"/><Relationship Id="rId34" Type="http://schemas.openxmlformats.org/officeDocument/2006/relationships/hyperlink" Target="https://www.nationalgrid.com/investors" TargetMode="External"/><Relationship Id="rId50" Type="http://schemas.openxmlformats.org/officeDocument/2006/relationships/hyperlink" Target="https://www.bp.com/en/global/corporate/investors.html" TargetMode="External"/><Relationship Id="rId55" Type="http://schemas.openxmlformats.org/officeDocument/2006/relationships/hyperlink" Target="https://www.rolls-royce.com/investors" TargetMode="External"/><Relationship Id="rId76" Type="http://schemas.openxmlformats.org/officeDocument/2006/relationships/hyperlink" Target="https://www.nationalgrid.com/investors" TargetMode="External"/><Relationship Id="rId7" Type="http://schemas.openxmlformats.org/officeDocument/2006/relationships/hyperlink" Target="https://www.shell.com/investors" TargetMode="External"/><Relationship Id="rId71" Type="http://schemas.openxmlformats.org/officeDocument/2006/relationships/hyperlink" Target="https://www.gsk.com/en-gb/investors/" TargetMode="External"/><Relationship Id="rId2" Type="http://schemas.openxmlformats.org/officeDocument/2006/relationships/hyperlink" Target="https://www.shell.com/sustainability" TargetMode="External"/><Relationship Id="rId29" Type="http://schemas.openxmlformats.org/officeDocument/2006/relationships/hyperlink" Target="https://www.gsk.com/en-gb/investors/" TargetMode="External"/><Relationship Id="rId24" Type="http://schemas.openxmlformats.org/officeDocument/2006/relationships/hyperlink" Target="https://www.riotinto.com/en/invest" TargetMode="External"/><Relationship Id="rId40" Type="http://schemas.openxmlformats.org/officeDocument/2006/relationships/hyperlink" Target="https://investors.boeing.com/investors/overview/default.aspx" TargetMode="External"/><Relationship Id="rId45" Type="http://schemas.openxmlformats.org/officeDocument/2006/relationships/hyperlink" Target="https://home.barclays/investor-relations/" TargetMode="External"/><Relationship Id="rId66" Type="http://schemas.openxmlformats.org/officeDocument/2006/relationships/hyperlink" Target="https://www.riotinto.com/en/invest" TargetMode="External"/><Relationship Id="rId87" Type="http://schemas.openxmlformats.org/officeDocument/2006/relationships/hyperlink" Target="https://home.barclays/investor-relations/" TargetMode="External"/><Relationship Id="rId61" Type="http://schemas.openxmlformats.org/officeDocument/2006/relationships/hyperlink" Target="https://www.bat.com/investors" TargetMode="External"/><Relationship Id="rId82" Type="http://schemas.openxmlformats.org/officeDocument/2006/relationships/hyperlink" Target="https://investors.boeing.com/investors/overview/default.aspx" TargetMode="External"/><Relationship Id="rId19" Type="http://schemas.openxmlformats.org/officeDocument/2006/relationships/hyperlink" Target="https://www.bat.com/investor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ECE7F0-C2BF-4698-B671-D6F376AEEE85}">
  <dimension ref="A1:G91"/>
  <sheetViews>
    <sheetView tabSelected="1" zoomScale="75" workbookViewId="0">
      <selection activeCell="D2" sqref="D2"/>
    </sheetView>
  </sheetViews>
  <sheetFormatPr defaultRowHeight="14.4" x14ac:dyDescent="0.3"/>
  <cols>
    <col min="2" max="2" width="7.44140625" bestFit="1" customWidth="1"/>
    <col min="3" max="3" width="33.21875" bestFit="1" customWidth="1"/>
    <col min="4" max="4" width="51.77734375" bestFit="1" customWidth="1"/>
    <col min="5" max="5" width="20.33203125" bestFit="1" customWidth="1"/>
    <col min="6" max="6" width="52.33203125" bestFit="1" customWidth="1"/>
    <col min="7" max="7" width="23.5546875" bestFit="1" customWidth="1"/>
  </cols>
  <sheetData>
    <row r="1" spans="1:7" ht="15" thickBot="1" x14ac:dyDescent="0.35">
      <c r="A1" s="5" t="s">
        <v>0</v>
      </c>
      <c r="B1" s="3" t="s">
        <v>4</v>
      </c>
      <c r="C1" s="2" t="s">
        <v>1</v>
      </c>
      <c r="D1" s="2" t="s">
        <v>51</v>
      </c>
      <c r="E1" s="2" t="s">
        <v>3</v>
      </c>
      <c r="F1" s="6" t="s">
        <v>42</v>
      </c>
      <c r="G1" s="4" t="s">
        <v>2</v>
      </c>
    </row>
    <row r="2" spans="1:7" ht="15" thickBot="1" x14ac:dyDescent="0.35">
      <c r="A2" s="23">
        <v>2018</v>
      </c>
      <c r="B2" s="7" t="s">
        <v>5</v>
      </c>
      <c r="C2" s="24">
        <v>82000</v>
      </c>
      <c r="D2" s="8" t="s">
        <v>20</v>
      </c>
      <c r="E2" s="25">
        <v>388.3</v>
      </c>
      <c r="F2" s="9" t="s">
        <v>35</v>
      </c>
      <c r="G2" s="22">
        <f>C2/E2</f>
        <v>211.17692505794489</v>
      </c>
    </row>
    <row r="3" spans="1:7" ht="15" thickBot="1" x14ac:dyDescent="0.35">
      <c r="A3" s="26">
        <v>2018</v>
      </c>
      <c r="B3" s="10" t="s">
        <v>6</v>
      </c>
      <c r="C3" s="27">
        <v>54200</v>
      </c>
      <c r="D3" s="11" t="s">
        <v>21</v>
      </c>
      <c r="E3" s="28">
        <v>298.8</v>
      </c>
      <c r="F3" s="12" t="s">
        <v>43</v>
      </c>
      <c r="G3" s="22">
        <f t="shared" ref="G3:G66" si="0">C3/E3</f>
        <v>181.39223560910307</v>
      </c>
    </row>
    <row r="4" spans="1:7" ht="15" thickBot="1" x14ac:dyDescent="0.35">
      <c r="A4" s="26">
        <v>2018</v>
      </c>
      <c r="B4" s="10" t="s">
        <v>7</v>
      </c>
      <c r="C4" s="27">
        <v>35400</v>
      </c>
      <c r="D4" s="13" t="s">
        <v>22</v>
      </c>
      <c r="E4" s="28">
        <v>219.8</v>
      </c>
      <c r="F4" s="12" t="s">
        <v>36</v>
      </c>
      <c r="G4" s="22">
        <f t="shared" si="0"/>
        <v>161.05550500454959</v>
      </c>
    </row>
    <row r="5" spans="1:7" ht="15" thickBot="1" x14ac:dyDescent="0.35">
      <c r="A5" s="26">
        <v>2018</v>
      </c>
      <c r="B5" s="10" t="s">
        <v>8</v>
      </c>
      <c r="C5" s="27">
        <v>31600</v>
      </c>
      <c r="D5" s="13" t="s">
        <v>23</v>
      </c>
      <c r="E5" s="28">
        <v>40.5</v>
      </c>
      <c r="F5" s="12" t="s">
        <v>44</v>
      </c>
      <c r="G5" s="22">
        <f t="shared" si="0"/>
        <v>780.24691358024688</v>
      </c>
    </row>
    <row r="6" spans="1:7" ht="16.8" customHeight="1" thickBot="1" x14ac:dyDescent="0.35">
      <c r="A6" s="26">
        <v>2018</v>
      </c>
      <c r="B6" s="10" t="s">
        <v>9</v>
      </c>
      <c r="C6" s="27">
        <v>16000</v>
      </c>
      <c r="D6" s="14" t="s">
        <v>24</v>
      </c>
      <c r="E6" s="28">
        <v>27.6</v>
      </c>
      <c r="F6" s="12" t="s">
        <v>37</v>
      </c>
      <c r="G6" s="22">
        <f t="shared" si="0"/>
        <v>579.71014492753625</v>
      </c>
    </row>
    <row r="7" spans="1:7" ht="15" thickBot="1" x14ac:dyDescent="0.35">
      <c r="A7" s="26">
        <v>2018</v>
      </c>
      <c r="B7" s="10" t="s">
        <v>10</v>
      </c>
      <c r="C7" s="27">
        <v>1317</v>
      </c>
      <c r="D7" s="13" t="s">
        <v>25</v>
      </c>
      <c r="E7" s="28">
        <v>101.1</v>
      </c>
      <c r="F7" s="12" t="s">
        <v>45</v>
      </c>
      <c r="G7" s="22">
        <f t="shared" si="0"/>
        <v>13.026706231454007</v>
      </c>
    </row>
    <row r="8" spans="1:7" ht="15" thickBot="1" x14ac:dyDescent="0.35">
      <c r="A8" s="26">
        <v>2018</v>
      </c>
      <c r="B8" s="10" t="s">
        <v>11</v>
      </c>
      <c r="C8" s="28">
        <v>605</v>
      </c>
      <c r="D8" s="15" t="s">
        <v>26</v>
      </c>
      <c r="E8" s="28">
        <v>20.3</v>
      </c>
      <c r="F8" s="12" t="s">
        <v>38</v>
      </c>
      <c r="G8" s="22">
        <f t="shared" si="0"/>
        <v>29.80295566502463</v>
      </c>
    </row>
    <row r="9" spans="1:7" ht="15" thickBot="1" x14ac:dyDescent="0.35">
      <c r="A9" s="26">
        <v>2018</v>
      </c>
      <c r="B9" s="10" t="s">
        <v>12</v>
      </c>
      <c r="C9" s="28">
        <v>562</v>
      </c>
      <c r="D9" s="15" t="s">
        <v>27</v>
      </c>
      <c r="E9" s="28">
        <v>22.1</v>
      </c>
      <c r="F9" s="12" t="s">
        <v>46</v>
      </c>
      <c r="G9" s="22">
        <f t="shared" si="0"/>
        <v>25.429864253393664</v>
      </c>
    </row>
    <row r="10" spans="1:7" ht="15" thickBot="1" x14ac:dyDescent="0.35">
      <c r="A10" s="26">
        <v>2018</v>
      </c>
      <c r="B10" s="10" t="s">
        <v>13</v>
      </c>
      <c r="C10" s="27">
        <v>1247</v>
      </c>
      <c r="D10" s="11" t="s">
        <v>28</v>
      </c>
      <c r="E10" s="28">
        <v>39.1</v>
      </c>
      <c r="F10" s="12" t="s">
        <v>47</v>
      </c>
      <c r="G10" s="22">
        <f t="shared" si="0"/>
        <v>31.892583120204602</v>
      </c>
    </row>
    <row r="11" spans="1:7" ht="15" thickBot="1" x14ac:dyDescent="0.35">
      <c r="A11" s="26">
        <v>2018</v>
      </c>
      <c r="B11" s="10" t="s">
        <v>14</v>
      </c>
      <c r="C11" s="28">
        <v>547</v>
      </c>
      <c r="D11" s="15" t="s">
        <v>29</v>
      </c>
      <c r="E11" s="28">
        <v>53.8</v>
      </c>
      <c r="F11" s="12" t="s">
        <v>39</v>
      </c>
      <c r="G11" s="22">
        <f t="shared" si="0"/>
        <v>10.167286245353161</v>
      </c>
    </row>
    <row r="12" spans="1:7" ht="15" thickBot="1" x14ac:dyDescent="0.35">
      <c r="A12" s="26">
        <v>2018</v>
      </c>
      <c r="B12" s="10" t="s">
        <v>15</v>
      </c>
      <c r="C12" s="28">
        <v>237</v>
      </c>
      <c r="D12" s="15" t="s">
        <v>30</v>
      </c>
      <c r="E12" s="28">
        <v>28.2</v>
      </c>
      <c r="F12" s="12" t="s">
        <v>48</v>
      </c>
      <c r="G12" s="22">
        <f t="shared" si="0"/>
        <v>8.4042553191489358</v>
      </c>
    </row>
    <row r="13" spans="1:7" ht="15" thickBot="1" x14ac:dyDescent="0.35">
      <c r="A13" s="26">
        <v>2018</v>
      </c>
      <c r="B13" s="10" t="s">
        <v>16</v>
      </c>
      <c r="C13" s="28">
        <v>193</v>
      </c>
      <c r="D13" s="15" t="s">
        <v>31</v>
      </c>
      <c r="E13" s="28">
        <v>33.4</v>
      </c>
      <c r="F13" s="12" t="s">
        <v>49</v>
      </c>
      <c r="G13" s="22">
        <f t="shared" si="0"/>
        <v>5.7784431137724557</v>
      </c>
    </row>
    <row r="14" spans="1:7" ht="15" thickBot="1" x14ac:dyDescent="0.35">
      <c r="A14" s="26">
        <v>2018</v>
      </c>
      <c r="B14" s="10" t="s">
        <v>17</v>
      </c>
      <c r="C14" s="27">
        <v>1727</v>
      </c>
      <c r="D14" s="13" t="s">
        <v>32</v>
      </c>
      <c r="E14" s="28">
        <v>59.9</v>
      </c>
      <c r="F14" s="16" t="s">
        <v>50</v>
      </c>
      <c r="G14" s="22">
        <f t="shared" si="0"/>
        <v>28.831385642737896</v>
      </c>
    </row>
    <row r="15" spans="1:7" ht="15" thickBot="1" x14ac:dyDescent="0.35">
      <c r="A15" s="26">
        <v>2018</v>
      </c>
      <c r="B15" s="10" t="s">
        <v>18</v>
      </c>
      <c r="C15" s="27">
        <v>1100</v>
      </c>
      <c r="D15" s="13" t="s">
        <v>33</v>
      </c>
      <c r="E15" s="28">
        <v>32.700000000000003</v>
      </c>
      <c r="F15" s="12" t="s">
        <v>40</v>
      </c>
      <c r="G15" s="22">
        <f t="shared" si="0"/>
        <v>33.63914373088685</v>
      </c>
    </row>
    <row r="16" spans="1:7" ht="15" thickBot="1" x14ac:dyDescent="0.35">
      <c r="A16" s="29">
        <v>2018</v>
      </c>
      <c r="B16" s="17" t="s">
        <v>19</v>
      </c>
      <c r="C16" s="30">
        <v>6300</v>
      </c>
      <c r="D16" s="18" t="s">
        <v>34</v>
      </c>
      <c r="E16" s="31">
        <v>19.3</v>
      </c>
      <c r="F16" s="19" t="s">
        <v>41</v>
      </c>
      <c r="G16" s="22">
        <f t="shared" si="0"/>
        <v>326.42487046632124</v>
      </c>
    </row>
    <row r="17" spans="1:7" ht="15" thickBot="1" x14ac:dyDescent="0.35">
      <c r="A17" s="32">
        <v>2019</v>
      </c>
      <c r="B17" s="20" t="s">
        <v>5</v>
      </c>
      <c r="C17" s="33">
        <v>80000</v>
      </c>
      <c r="D17" s="21" t="s">
        <v>20</v>
      </c>
      <c r="E17" s="34">
        <v>344.9</v>
      </c>
      <c r="F17" s="9" t="s">
        <v>35</v>
      </c>
      <c r="G17" s="22">
        <f t="shared" si="0"/>
        <v>231.95129022905192</v>
      </c>
    </row>
    <row r="18" spans="1:7" ht="15" thickBot="1" x14ac:dyDescent="0.35">
      <c r="A18" s="26">
        <v>2019</v>
      </c>
      <c r="B18" s="10" t="s">
        <v>6</v>
      </c>
      <c r="C18" s="27">
        <v>54400</v>
      </c>
      <c r="D18" s="11" t="s">
        <v>21</v>
      </c>
      <c r="E18" s="28">
        <v>278.39999999999998</v>
      </c>
      <c r="F18" s="12" t="s">
        <v>43</v>
      </c>
      <c r="G18" s="22">
        <f t="shared" si="0"/>
        <v>195.40229885057474</v>
      </c>
    </row>
    <row r="19" spans="1:7" ht="15" thickBot="1" x14ac:dyDescent="0.35">
      <c r="A19" s="26">
        <v>2019</v>
      </c>
      <c r="B19" s="10" t="s">
        <v>7</v>
      </c>
      <c r="C19" s="27">
        <v>34300</v>
      </c>
      <c r="D19" s="13" t="s">
        <v>22</v>
      </c>
      <c r="E19" s="28">
        <v>215.1</v>
      </c>
      <c r="F19" s="12" t="s">
        <v>36</v>
      </c>
      <c r="G19" s="22">
        <f t="shared" si="0"/>
        <v>159.46071594607159</v>
      </c>
    </row>
    <row r="20" spans="1:7" ht="15" thickBot="1" x14ac:dyDescent="0.35">
      <c r="A20" s="26">
        <v>2019</v>
      </c>
      <c r="B20" s="10" t="s">
        <v>8</v>
      </c>
      <c r="C20" s="27">
        <v>31500</v>
      </c>
      <c r="D20" s="13" t="s">
        <v>23</v>
      </c>
      <c r="E20" s="28">
        <v>43.2</v>
      </c>
      <c r="F20" s="12" t="s">
        <v>44</v>
      </c>
      <c r="G20" s="22">
        <f t="shared" si="0"/>
        <v>729.16666666666663</v>
      </c>
    </row>
    <row r="21" spans="1:7" ht="29.4" thickBot="1" x14ac:dyDescent="0.35">
      <c r="A21" s="26">
        <v>2019</v>
      </c>
      <c r="B21" s="10" t="s">
        <v>9</v>
      </c>
      <c r="C21" s="27">
        <v>15400</v>
      </c>
      <c r="D21" s="14" t="s">
        <v>24</v>
      </c>
      <c r="E21" s="28">
        <v>29.9</v>
      </c>
      <c r="F21" s="12" t="s">
        <v>37</v>
      </c>
      <c r="G21" s="22">
        <f t="shared" si="0"/>
        <v>515.05016722408027</v>
      </c>
    </row>
    <row r="22" spans="1:7" ht="15" thickBot="1" x14ac:dyDescent="0.35">
      <c r="A22" s="26">
        <v>2019</v>
      </c>
      <c r="B22" s="10" t="s">
        <v>10</v>
      </c>
      <c r="C22" s="27">
        <v>1265</v>
      </c>
      <c r="D22" s="13" t="s">
        <v>25</v>
      </c>
      <c r="E22" s="28">
        <v>76.599999999999994</v>
      </c>
      <c r="F22" s="12" t="s">
        <v>45</v>
      </c>
      <c r="G22" s="22">
        <f t="shared" si="0"/>
        <v>16.51436031331593</v>
      </c>
    </row>
    <row r="23" spans="1:7" ht="15" thickBot="1" x14ac:dyDescent="0.35">
      <c r="A23" s="26">
        <v>2019</v>
      </c>
      <c r="B23" s="10" t="s">
        <v>11</v>
      </c>
      <c r="C23" s="28">
        <v>575</v>
      </c>
      <c r="D23" s="15" t="s">
        <v>26</v>
      </c>
      <c r="E23" s="28">
        <v>20.100000000000001</v>
      </c>
      <c r="F23" s="12" t="s">
        <v>38</v>
      </c>
      <c r="G23" s="22">
        <f t="shared" si="0"/>
        <v>28.60696517412935</v>
      </c>
    </row>
    <row r="24" spans="1:7" ht="15" thickBot="1" x14ac:dyDescent="0.35">
      <c r="A24" s="26">
        <v>2019</v>
      </c>
      <c r="B24" s="10" t="s">
        <v>12</v>
      </c>
      <c r="C24" s="28">
        <v>460</v>
      </c>
      <c r="D24" s="15" t="s">
        <v>27</v>
      </c>
      <c r="E24" s="28">
        <v>24.4</v>
      </c>
      <c r="F24" s="12" t="s">
        <v>46</v>
      </c>
      <c r="G24" s="22">
        <f t="shared" si="0"/>
        <v>18.852459016393443</v>
      </c>
    </row>
    <row r="25" spans="1:7" ht="15" thickBot="1" x14ac:dyDescent="0.35">
      <c r="A25" s="26">
        <v>2019</v>
      </c>
      <c r="B25" s="10" t="s">
        <v>13</v>
      </c>
      <c r="C25" s="27">
        <v>1122</v>
      </c>
      <c r="D25" s="11" t="s">
        <v>28</v>
      </c>
      <c r="E25" s="28">
        <v>44.4</v>
      </c>
      <c r="F25" s="12" t="s">
        <v>47</v>
      </c>
      <c r="G25" s="22">
        <f t="shared" si="0"/>
        <v>25.27027027027027</v>
      </c>
    </row>
    <row r="26" spans="1:7" ht="15" thickBot="1" x14ac:dyDescent="0.35">
      <c r="A26" s="26">
        <v>2019</v>
      </c>
      <c r="B26" s="10" t="s">
        <v>14</v>
      </c>
      <c r="C26" s="28">
        <v>460</v>
      </c>
      <c r="D26" s="15" t="s">
        <v>29</v>
      </c>
      <c r="E26" s="28">
        <v>56.1</v>
      </c>
      <c r="F26" s="12" t="s">
        <v>39</v>
      </c>
      <c r="G26" s="22">
        <f t="shared" si="0"/>
        <v>8.1996434937611404</v>
      </c>
    </row>
    <row r="27" spans="1:7" ht="15" thickBot="1" x14ac:dyDescent="0.35">
      <c r="A27" s="26">
        <v>2019</v>
      </c>
      <c r="B27" s="10" t="s">
        <v>15</v>
      </c>
      <c r="C27" s="28">
        <v>191</v>
      </c>
      <c r="D27" s="15" t="s">
        <v>30</v>
      </c>
      <c r="E27" s="28">
        <v>27.6</v>
      </c>
      <c r="F27" s="12" t="s">
        <v>48</v>
      </c>
      <c r="G27" s="22">
        <f t="shared" si="0"/>
        <v>6.920289855072463</v>
      </c>
    </row>
    <row r="28" spans="1:7" ht="15" thickBot="1" x14ac:dyDescent="0.35">
      <c r="A28" s="26">
        <v>2019</v>
      </c>
      <c r="B28" s="10" t="s">
        <v>16</v>
      </c>
      <c r="C28" s="28">
        <v>165</v>
      </c>
      <c r="D28" s="15" t="s">
        <v>31</v>
      </c>
      <c r="E28" s="28">
        <v>62.6</v>
      </c>
      <c r="F28" s="12" t="s">
        <v>49</v>
      </c>
      <c r="G28" s="22">
        <f t="shared" si="0"/>
        <v>2.6357827476038338</v>
      </c>
    </row>
    <row r="29" spans="1:7" ht="15" thickBot="1" x14ac:dyDescent="0.35">
      <c r="A29" s="26">
        <v>2019</v>
      </c>
      <c r="B29" s="10" t="s">
        <v>17</v>
      </c>
      <c r="C29" s="27">
        <v>1480</v>
      </c>
      <c r="D29" s="13" t="s">
        <v>32</v>
      </c>
      <c r="E29" s="28">
        <v>58.2</v>
      </c>
      <c r="F29" s="16" t="s">
        <v>50</v>
      </c>
      <c r="G29" s="22">
        <f t="shared" si="0"/>
        <v>25.429553264604809</v>
      </c>
    </row>
    <row r="30" spans="1:7" ht="15" thickBot="1" x14ac:dyDescent="0.35">
      <c r="A30" s="26">
        <v>2019</v>
      </c>
      <c r="B30" s="10" t="s">
        <v>18</v>
      </c>
      <c r="C30" s="27">
        <v>1030</v>
      </c>
      <c r="D30" s="13" t="s">
        <v>33</v>
      </c>
      <c r="E30" s="28">
        <v>33</v>
      </c>
      <c r="F30" s="12" t="s">
        <v>40</v>
      </c>
      <c r="G30" s="22">
        <f t="shared" si="0"/>
        <v>31.212121212121211</v>
      </c>
    </row>
    <row r="31" spans="1:7" ht="15" thickBot="1" x14ac:dyDescent="0.35">
      <c r="A31" s="29">
        <v>2019</v>
      </c>
      <c r="B31" s="17" t="s">
        <v>19</v>
      </c>
      <c r="C31" s="30">
        <v>5700</v>
      </c>
      <c r="D31" s="18" t="s">
        <v>34</v>
      </c>
      <c r="E31" s="31">
        <v>19</v>
      </c>
      <c r="F31" s="19" t="s">
        <v>41</v>
      </c>
      <c r="G31" s="22">
        <f t="shared" si="0"/>
        <v>300</v>
      </c>
    </row>
    <row r="32" spans="1:7" ht="15" thickBot="1" x14ac:dyDescent="0.35">
      <c r="A32" s="32">
        <v>2020</v>
      </c>
      <c r="B32" s="20" t="s">
        <v>5</v>
      </c>
      <c r="C32" s="33">
        <v>71000</v>
      </c>
      <c r="D32" s="21" t="s">
        <v>20</v>
      </c>
      <c r="E32" s="34">
        <v>180.5</v>
      </c>
      <c r="F32" s="9" t="s">
        <v>35</v>
      </c>
      <c r="G32" s="22">
        <f t="shared" si="0"/>
        <v>393.35180055401662</v>
      </c>
    </row>
    <row r="33" spans="1:7" ht="15" thickBot="1" x14ac:dyDescent="0.35">
      <c r="A33" s="26">
        <v>2020</v>
      </c>
      <c r="B33" s="10" t="s">
        <v>6</v>
      </c>
      <c r="C33" s="27">
        <v>45500</v>
      </c>
      <c r="D33" s="11" t="s">
        <v>21</v>
      </c>
      <c r="E33" s="28">
        <v>180.3</v>
      </c>
      <c r="F33" s="12" t="s">
        <v>43</v>
      </c>
      <c r="G33" s="22">
        <f t="shared" si="0"/>
        <v>252.357182473655</v>
      </c>
    </row>
    <row r="34" spans="1:7" ht="15" thickBot="1" x14ac:dyDescent="0.35">
      <c r="A34" s="26">
        <v>2020</v>
      </c>
      <c r="B34" s="10" t="s">
        <v>7</v>
      </c>
      <c r="C34" s="27">
        <v>27700</v>
      </c>
      <c r="D34" s="13" t="s">
        <v>22</v>
      </c>
      <c r="E34" s="28">
        <v>142.30000000000001</v>
      </c>
      <c r="F34" s="12" t="s">
        <v>36</v>
      </c>
      <c r="G34" s="22">
        <f t="shared" si="0"/>
        <v>194.65917076598734</v>
      </c>
    </row>
    <row r="35" spans="1:7" ht="15" thickBot="1" x14ac:dyDescent="0.35">
      <c r="A35" s="26">
        <v>2020</v>
      </c>
      <c r="B35" s="10" t="s">
        <v>8</v>
      </c>
      <c r="C35" s="27">
        <v>31500</v>
      </c>
      <c r="D35" s="13" t="s">
        <v>23</v>
      </c>
      <c r="E35" s="28">
        <v>44.6</v>
      </c>
      <c r="F35" s="12" t="s">
        <v>44</v>
      </c>
      <c r="G35" s="22">
        <f t="shared" si="0"/>
        <v>706.27802690582962</v>
      </c>
    </row>
    <row r="36" spans="1:7" ht="29.4" thickBot="1" x14ac:dyDescent="0.35">
      <c r="A36" s="26">
        <v>2020</v>
      </c>
      <c r="B36" s="10" t="s">
        <v>9</v>
      </c>
      <c r="C36" s="27">
        <v>14700</v>
      </c>
      <c r="D36" s="14" t="s">
        <v>24</v>
      </c>
      <c r="E36" s="28">
        <v>30.9</v>
      </c>
      <c r="F36" s="12" t="s">
        <v>37</v>
      </c>
      <c r="G36" s="22">
        <f t="shared" si="0"/>
        <v>475.72815533980582</v>
      </c>
    </row>
    <row r="37" spans="1:7" ht="15" thickBot="1" x14ac:dyDescent="0.35">
      <c r="A37" s="26">
        <v>2020</v>
      </c>
      <c r="B37" s="10" t="s">
        <v>10</v>
      </c>
      <c r="C37" s="27">
        <v>1040</v>
      </c>
      <c r="D37" s="13" t="s">
        <v>25</v>
      </c>
      <c r="E37" s="28">
        <v>58.2</v>
      </c>
      <c r="F37" s="12" t="s">
        <v>45</v>
      </c>
      <c r="G37" s="22">
        <f t="shared" si="0"/>
        <v>17.869415807560138</v>
      </c>
    </row>
    <row r="38" spans="1:7" ht="15" thickBot="1" x14ac:dyDescent="0.35">
      <c r="A38" s="26">
        <v>2020</v>
      </c>
      <c r="B38" s="10" t="s">
        <v>11</v>
      </c>
      <c r="C38" s="28">
        <v>435</v>
      </c>
      <c r="D38" s="15" t="s">
        <v>26</v>
      </c>
      <c r="E38" s="28">
        <v>15.3</v>
      </c>
      <c r="F38" s="12" t="s">
        <v>38</v>
      </c>
      <c r="G38" s="22">
        <f t="shared" si="0"/>
        <v>28.431372549019606</v>
      </c>
    </row>
    <row r="39" spans="1:7" ht="15" thickBot="1" x14ac:dyDescent="0.35">
      <c r="A39" s="26">
        <v>2020</v>
      </c>
      <c r="B39" s="10" t="s">
        <v>12</v>
      </c>
      <c r="C39" s="28">
        <v>378</v>
      </c>
      <c r="D39" s="15" t="s">
        <v>27</v>
      </c>
      <c r="E39" s="28">
        <v>26.6</v>
      </c>
      <c r="F39" s="12" t="s">
        <v>46</v>
      </c>
      <c r="G39" s="22">
        <f t="shared" si="0"/>
        <v>14.210526315789473</v>
      </c>
    </row>
    <row r="40" spans="1:7" ht="15" thickBot="1" x14ac:dyDescent="0.35">
      <c r="A40" s="26">
        <v>2020</v>
      </c>
      <c r="B40" s="10" t="s">
        <v>13</v>
      </c>
      <c r="C40" s="27">
        <v>1013</v>
      </c>
      <c r="D40" s="11" t="s">
        <v>28</v>
      </c>
      <c r="E40" s="28">
        <v>33.4</v>
      </c>
      <c r="F40" s="12" t="s">
        <v>47</v>
      </c>
      <c r="G40" s="22">
        <f t="shared" si="0"/>
        <v>30.32934131736527</v>
      </c>
    </row>
    <row r="41" spans="1:7" ht="15" thickBot="1" x14ac:dyDescent="0.35">
      <c r="A41" s="26">
        <v>2020</v>
      </c>
      <c r="B41" s="10" t="s">
        <v>14</v>
      </c>
      <c r="C41" s="28">
        <v>346</v>
      </c>
      <c r="D41" s="15" t="s">
        <v>29</v>
      </c>
      <c r="E41" s="28">
        <v>50.4</v>
      </c>
      <c r="F41" s="12" t="s">
        <v>39</v>
      </c>
      <c r="G41" s="22">
        <f t="shared" si="0"/>
        <v>6.8650793650793656</v>
      </c>
    </row>
    <row r="42" spans="1:7" ht="15" thickBot="1" x14ac:dyDescent="0.35">
      <c r="A42" s="26">
        <v>2020</v>
      </c>
      <c r="B42" s="10" t="s">
        <v>15</v>
      </c>
      <c r="C42" s="28">
        <v>133</v>
      </c>
      <c r="D42" s="15" t="s">
        <v>30</v>
      </c>
      <c r="E42" s="28">
        <v>27.9</v>
      </c>
      <c r="F42" s="12" t="s">
        <v>48</v>
      </c>
      <c r="G42" s="22">
        <f t="shared" si="0"/>
        <v>4.7670250896057347</v>
      </c>
    </row>
    <row r="43" spans="1:7" ht="15" thickBot="1" x14ac:dyDescent="0.35">
      <c r="A43" s="26">
        <v>2020</v>
      </c>
      <c r="B43" s="10" t="s">
        <v>16</v>
      </c>
      <c r="C43" s="28">
        <v>113</v>
      </c>
      <c r="D43" s="15" t="s">
        <v>31</v>
      </c>
      <c r="E43" s="28">
        <v>42</v>
      </c>
      <c r="F43" s="12" t="s">
        <v>49</v>
      </c>
      <c r="G43" s="22">
        <f t="shared" si="0"/>
        <v>2.6904761904761907</v>
      </c>
    </row>
    <row r="44" spans="1:7" ht="13.2" customHeight="1" thickBot="1" x14ac:dyDescent="0.35">
      <c r="A44" s="26">
        <v>2020</v>
      </c>
      <c r="B44" s="10" t="s">
        <v>17</v>
      </c>
      <c r="C44" s="28">
        <v>915</v>
      </c>
      <c r="D44" s="13" t="s">
        <v>32</v>
      </c>
      <c r="E44" s="28">
        <v>57.9</v>
      </c>
      <c r="F44" s="16" t="s">
        <v>50</v>
      </c>
      <c r="G44" s="22">
        <f t="shared" si="0"/>
        <v>15.803108808290157</v>
      </c>
    </row>
    <row r="45" spans="1:7" ht="13.2" customHeight="1" thickBot="1" x14ac:dyDescent="0.35">
      <c r="A45" s="26">
        <v>2020</v>
      </c>
      <c r="B45" s="10" t="s">
        <v>18</v>
      </c>
      <c r="C45" s="28">
        <v>885</v>
      </c>
      <c r="D45" s="13" t="s">
        <v>33</v>
      </c>
      <c r="E45" s="28">
        <v>33.1</v>
      </c>
      <c r="F45" s="12" t="s">
        <v>40</v>
      </c>
      <c r="G45" s="22">
        <f t="shared" si="0"/>
        <v>26.737160120845921</v>
      </c>
    </row>
    <row r="46" spans="1:7" ht="13.2" customHeight="1" thickBot="1" x14ac:dyDescent="0.35">
      <c r="A46" s="29">
        <v>2020</v>
      </c>
      <c r="B46" s="17" t="s">
        <v>19</v>
      </c>
      <c r="C46" s="30">
        <v>5000</v>
      </c>
      <c r="D46" s="30" t="s">
        <v>34</v>
      </c>
      <c r="E46" s="31">
        <v>18.899999999999999</v>
      </c>
      <c r="F46" s="19" t="s">
        <v>41</v>
      </c>
      <c r="G46" s="22">
        <f t="shared" si="0"/>
        <v>264.55026455026456</v>
      </c>
    </row>
    <row r="47" spans="1:7" ht="13.2" customHeight="1" thickBot="1" x14ac:dyDescent="0.35">
      <c r="A47" s="32">
        <v>2021</v>
      </c>
      <c r="B47" s="20" t="s">
        <v>5</v>
      </c>
      <c r="C47" s="33">
        <v>68000</v>
      </c>
      <c r="D47" s="21" t="s">
        <v>20</v>
      </c>
      <c r="E47" s="34">
        <v>261.5</v>
      </c>
      <c r="F47" s="9" t="s">
        <v>35</v>
      </c>
      <c r="G47" s="22">
        <f t="shared" si="0"/>
        <v>260.03824091778205</v>
      </c>
    </row>
    <row r="48" spans="1:7" ht="13.2" customHeight="1" thickBot="1" x14ac:dyDescent="0.35">
      <c r="A48" s="26">
        <v>2021</v>
      </c>
      <c r="B48" s="10" t="s">
        <v>6</v>
      </c>
      <c r="C48" s="27">
        <v>35500</v>
      </c>
      <c r="D48" s="11" t="s">
        <v>21</v>
      </c>
      <c r="E48" s="28">
        <v>157.69999999999999</v>
      </c>
      <c r="F48" s="12" t="s">
        <v>43</v>
      </c>
      <c r="G48" s="22">
        <f t="shared" si="0"/>
        <v>225.11097019657581</v>
      </c>
    </row>
    <row r="49" spans="1:7" ht="13.2" customHeight="1" thickBot="1" x14ac:dyDescent="0.35">
      <c r="A49" s="26">
        <v>2021</v>
      </c>
      <c r="B49" s="10" t="s">
        <v>7</v>
      </c>
      <c r="C49" s="27">
        <v>28300</v>
      </c>
      <c r="D49" s="13" t="s">
        <v>22</v>
      </c>
      <c r="E49" s="28">
        <v>203.8</v>
      </c>
      <c r="F49" s="12" t="s">
        <v>36</v>
      </c>
      <c r="G49" s="22">
        <f t="shared" si="0"/>
        <v>138.86162904808634</v>
      </c>
    </row>
    <row r="50" spans="1:7" ht="13.2" customHeight="1" thickBot="1" x14ac:dyDescent="0.35">
      <c r="A50" s="26">
        <v>2021</v>
      </c>
      <c r="B50" s="10" t="s">
        <v>8</v>
      </c>
      <c r="C50" s="27">
        <v>31100</v>
      </c>
      <c r="D50" s="13" t="s">
        <v>23</v>
      </c>
      <c r="E50" s="28">
        <v>63.5</v>
      </c>
      <c r="F50" s="12" t="s">
        <v>44</v>
      </c>
      <c r="G50" s="22">
        <f t="shared" si="0"/>
        <v>489.76377952755905</v>
      </c>
    </row>
    <row r="51" spans="1:7" ht="13.2" customHeight="1" thickBot="1" x14ac:dyDescent="0.35">
      <c r="A51" s="26">
        <v>2021</v>
      </c>
      <c r="B51" s="10" t="s">
        <v>9</v>
      </c>
      <c r="C51" s="27">
        <v>13000</v>
      </c>
      <c r="D51" s="14" t="s">
        <v>24</v>
      </c>
      <c r="E51" s="28">
        <v>41.6</v>
      </c>
      <c r="F51" s="12" t="s">
        <v>37</v>
      </c>
      <c r="G51" s="22">
        <f t="shared" si="0"/>
        <v>312.5</v>
      </c>
    </row>
    <row r="52" spans="1:7" ht="13.2" customHeight="1" thickBot="1" x14ac:dyDescent="0.35">
      <c r="A52" s="26">
        <v>2021</v>
      </c>
      <c r="B52" s="10" t="s">
        <v>10</v>
      </c>
      <c r="C52" s="28">
        <v>950</v>
      </c>
      <c r="D52" s="13" t="s">
        <v>25</v>
      </c>
      <c r="E52" s="28">
        <v>62.3</v>
      </c>
      <c r="F52" s="12" t="s">
        <v>45</v>
      </c>
      <c r="G52" s="22">
        <f t="shared" si="0"/>
        <v>15.248796147672552</v>
      </c>
    </row>
    <row r="53" spans="1:7" ht="13.2" customHeight="1" thickBot="1" x14ac:dyDescent="0.35">
      <c r="A53" s="26">
        <v>2021</v>
      </c>
      <c r="B53" s="10" t="s">
        <v>11</v>
      </c>
      <c r="C53" s="28">
        <v>375</v>
      </c>
      <c r="D53" s="15" t="s">
        <v>26</v>
      </c>
      <c r="E53" s="28">
        <v>14.9</v>
      </c>
      <c r="F53" s="12" t="s">
        <v>38</v>
      </c>
      <c r="G53" s="22">
        <f t="shared" si="0"/>
        <v>25.167785234899327</v>
      </c>
    </row>
    <row r="54" spans="1:7" ht="13.2" customHeight="1" thickBot="1" x14ac:dyDescent="0.35">
      <c r="A54" s="26">
        <v>2021</v>
      </c>
      <c r="B54" s="10" t="s">
        <v>12</v>
      </c>
      <c r="C54" s="28">
        <v>309</v>
      </c>
      <c r="D54" s="15" t="s">
        <v>27</v>
      </c>
      <c r="E54" s="28">
        <v>37.4</v>
      </c>
      <c r="F54" s="12" t="s">
        <v>46</v>
      </c>
      <c r="G54" s="22">
        <f t="shared" si="0"/>
        <v>8.262032085561497</v>
      </c>
    </row>
    <row r="55" spans="1:7" ht="13.2" customHeight="1" thickBot="1" x14ac:dyDescent="0.35">
      <c r="A55" s="26">
        <v>2021</v>
      </c>
      <c r="B55" s="10" t="s">
        <v>13</v>
      </c>
      <c r="C55" s="28">
        <v>825</v>
      </c>
      <c r="D55" s="11" t="s">
        <v>28</v>
      </c>
      <c r="E55" s="28">
        <v>32.9</v>
      </c>
      <c r="F55" s="12" t="s">
        <v>47</v>
      </c>
      <c r="G55" s="22">
        <f t="shared" si="0"/>
        <v>25.075987841945288</v>
      </c>
    </row>
    <row r="56" spans="1:7" ht="13.2" customHeight="1" thickBot="1" x14ac:dyDescent="0.35">
      <c r="A56" s="26">
        <v>2021</v>
      </c>
      <c r="B56" s="10" t="s">
        <v>14</v>
      </c>
      <c r="C56" s="28">
        <v>248</v>
      </c>
      <c r="D56" s="15" t="s">
        <v>29</v>
      </c>
      <c r="E56" s="28">
        <v>49.6</v>
      </c>
      <c r="F56" s="12" t="s">
        <v>39</v>
      </c>
      <c r="G56" s="22">
        <f t="shared" si="0"/>
        <v>5</v>
      </c>
    </row>
    <row r="57" spans="1:7" ht="13.2" customHeight="1" thickBot="1" x14ac:dyDescent="0.35">
      <c r="A57" s="26">
        <v>2021</v>
      </c>
      <c r="B57" s="10" t="s">
        <v>15</v>
      </c>
      <c r="C57" s="28">
        <v>77</v>
      </c>
      <c r="D57" s="15" t="s">
        <v>30</v>
      </c>
      <c r="E57" s="28">
        <v>30.2</v>
      </c>
      <c r="F57" s="12" t="s">
        <v>48</v>
      </c>
      <c r="G57" s="22">
        <f t="shared" si="0"/>
        <v>2.5496688741721854</v>
      </c>
    </row>
    <row r="58" spans="1:7" ht="13.2" customHeight="1" thickBot="1" x14ac:dyDescent="0.35">
      <c r="A58" s="26">
        <v>2021</v>
      </c>
      <c r="B58" s="10" t="s">
        <v>16</v>
      </c>
      <c r="C58" s="28">
        <v>87</v>
      </c>
      <c r="D58" s="28" t="s">
        <v>31</v>
      </c>
      <c r="E58" s="28">
        <v>56.8</v>
      </c>
      <c r="F58" s="12" t="s">
        <v>49</v>
      </c>
      <c r="G58" s="22">
        <f t="shared" si="0"/>
        <v>1.5316901408450705</v>
      </c>
    </row>
    <row r="59" spans="1:7" ht="13.2" customHeight="1" thickBot="1" x14ac:dyDescent="0.35">
      <c r="A59" s="26">
        <v>2021</v>
      </c>
      <c r="B59" s="10" t="s">
        <v>17</v>
      </c>
      <c r="C59" s="28">
        <v>802</v>
      </c>
      <c r="D59" s="27" t="s">
        <v>32</v>
      </c>
      <c r="E59" s="28">
        <v>62</v>
      </c>
      <c r="F59" s="16" t="s">
        <v>50</v>
      </c>
      <c r="G59" s="22">
        <f t="shared" si="0"/>
        <v>12.935483870967742</v>
      </c>
    </row>
    <row r="60" spans="1:7" ht="13.2" customHeight="1" thickBot="1" x14ac:dyDescent="0.35">
      <c r="A60" s="26">
        <v>2021</v>
      </c>
      <c r="B60" s="10" t="s">
        <v>18</v>
      </c>
      <c r="C60" s="28">
        <v>750</v>
      </c>
      <c r="D60" s="27" t="s">
        <v>33</v>
      </c>
      <c r="E60" s="28">
        <v>35.299999999999997</v>
      </c>
      <c r="F60" s="12" t="s">
        <v>40</v>
      </c>
      <c r="G60" s="22">
        <f t="shared" si="0"/>
        <v>21.246458923512751</v>
      </c>
    </row>
    <row r="61" spans="1:7" ht="13.2" customHeight="1" thickBot="1" x14ac:dyDescent="0.35">
      <c r="A61" s="29">
        <v>2021</v>
      </c>
      <c r="B61" s="17" t="s">
        <v>19</v>
      </c>
      <c r="C61" s="30">
        <v>4650</v>
      </c>
      <c r="D61" s="30" t="s">
        <v>34</v>
      </c>
      <c r="E61" s="31">
        <v>20.2</v>
      </c>
      <c r="F61" s="19" t="s">
        <v>41</v>
      </c>
      <c r="G61" s="22">
        <f t="shared" si="0"/>
        <v>230.19801980198019</v>
      </c>
    </row>
    <row r="62" spans="1:7" ht="13.2" customHeight="1" thickBot="1" x14ac:dyDescent="0.35">
      <c r="A62" s="32">
        <v>2022</v>
      </c>
      <c r="B62" s="20" t="s">
        <v>5</v>
      </c>
      <c r="C62" s="33">
        <v>58000</v>
      </c>
      <c r="D62" s="21" t="s">
        <v>20</v>
      </c>
      <c r="E62" s="34">
        <v>381.3</v>
      </c>
      <c r="F62" s="9" t="s">
        <v>35</v>
      </c>
      <c r="G62" s="22">
        <f t="shared" si="0"/>
        <v>152.11119853134014</v>
      </c>
    </row>
    <row r="63" spans="1:7" ht="13.2" customHeight="1" thickBot="1" x14ac:dyDescent="0.35">
      <c r="A63" s="26">
        <v>2022</v>
      </c>
      <c r="B63" s="10" t="s">
        <v>6</v>
      </c>
      <c r="C63" s="27">
        <v>33800</v>
      </c>
      <c r="D63" s="11" t="s">
        <v>21</v>
      </c>
      <c r="E63" s="28">
        <v>241.4</v>
      </c>
      <c r="F63" s="12" t="s">
        <v>43</v>
      </c>
      <c r="G63" s="22">
        <f t="shared" si="0"/>
        <v>140.01657000828499</v>
      </c>
    </row>
    <row r="64" spans="1:7" ht="13.2" customHeight="1" thickBot="1" x14ac:dyDescent="0.35">
      <c r="A64" s="26">
        <v>2022</v>
      </c>
      <c r="B64" s="10" t="s">
        <v>7</v>
      </c>
      <c r="C64" s="27">
        <v>26800</v>
      </c>
      <c r="D64" s="13" t="s">
        <v>22</v>
      </c>
      <c r="E64" s="28">
        <v>256</v>
      </c>
      <c r="F64" s="12" t="s">
        <v>36</v>
      </c>
      <c r="G64" s="22">
        <f t="shared" si="0"/>
        <v>104.6875</v>
      </c>
    </row>
    <row r="65" spans="1:7" ht="13.2" customHeight="1" thickBot="1" x14ac:dyDescent="0.35">
      <c r="A65" s="26">
        <v>2022</v>
      </c>
      <c r="B65" s="10" t="s">
        <v>8</v>
      </c>
      <c r="C65" s="27">
        <v>30300</v>
      </c>
      <c r="D65" s="13" t="s">
        <v>23</v>
      </c>
      <c r="E65" s="28">
        <v>55.6</v>
      </c>
      <c r="F65" s="12" t="s">
        <v>44</v>
      </c>
      <c r="G65" s="22">
        <f t="shared" si="0"/>
        <v>544.96402877697835</v>
      </c>
    </row>
    <row r="66" spans="1:7" ht="13.2" customHeight="1" thickBot="1" x14ac:dyDescent="0.35">
      <c r="A66" s="26">
        <v>2022</v>
      </c>
      <c r="B66" s="10" t="s">
        <v>9</v>
      </c>
      <c r="C66" s="27">
        <v>10200</v>
      </c>
      <c r="D66" s="14" t="s">
        <v>24</v>
      </c>
      <c r="E66" s="28">
        <v>35.1</v>
      </c>
      <c r="F66" s="12" t="s">
        <v>37</v>
      </c>
      <c r="G66" s="22">
        <f t="shared" si="0"/>
        <v>290.59829059829059</v>
      </c>
    </row>
    <row r="67" spans="1:7" ht="13.2" customHeight="1" thickBot="1" x14ac:dyDescent="0.35">
      <c r="A67" s="26">
        <v>2022</v>
      </c>
      <c r="B67" s="10" t="s">
        <v>10</v>
      </c>
      <c r="C67" s="28">
        <v>915</v>
      </c>
      <c r="D67" s="13" t="s">
        <v>25</v>
      </c>
      <c r="E67" s="28">
        <v>66.599999999999994</v>
      </c>
      <c r="F67" s="12" t="s">
        <v>45</v>
      </c>
      <c r="G67" s="22">
        <f t="shared" ref="G67:G91" si="1">C67/E67</f>
        <v>13.738738738738739</v>
      </c>
    </row>
    <row r="68" spans="1:7" ht="13.2" customHeight="1" thickBot="1" x14ac:dyDescent="0.35">
      <c r="A68" s="26">
        <v>2022</v>
      </c>
      <c r="B68" s="10" t="s">
        <v>11</v>
      </c>
      <c r="C68" s="28">
        <v>345</v>
      </c>
      <c r="D68" s="15" t="s">
        <v>26</v>
      </c>
      <c r="E68" s="28">
        <v>16.5</v>
      </c>
      <c r="F68" s="12" t="s">
        <v>38</v>
      </c>
      <c r="G68" s="22">
        <f t="shared" si="1"/>
        <v>20.90909090909091</v>
      </c>
    </row>
    <row r="69" spans="1:7" ht="13.2" customHeight="1" thickBot="1" x14ac:dyDescent="0.35">
      <c r="A69" s="26">
        <v>2022</v>
      </c>
      <c r="B69" s="10" t="s">
        <v>12</v>
      </c>
      <c r="C69" s="28">
        <v>296</v>
      </c>
      <c r="D69" s="15" t="s">
        <v>27</v>
      </c>
      <c r="E69" s="28">
        <v>44.4</v>
      </c>
      <c r="F69" s="12" t="s">
        <v>46</v>
      </c>
      <c r="G69" s="22">
        <f t="shared" si="1"/>
        <v>6.666666666666667</v>
      </c>
    </row>
    <row r="70" spans="1:7" ht="13.2" customHeight="1" thickBot="1" x14ac:dyDescent="0.35">
      <c r="A70" s="26">
        <v>2022</v>
      </c>
      <c r="B70" s="10" t="s">
        <v>13</v>
      </c>
      <c r="C70" s="28">
        <v>783</v>
      </c>
      <c r="D70" s="11" t="s">
        <v>28</v>
      </c>
      <c r="E70" s="28">
        <v>35.299999999999997</v>
      </c>
      <c r="F70" s="12" t="s">
        <v>47</v>
      </c>
      <c r="G70" s="22">
        <f t="shared" si="1"/>
        <v>22.181303116147312</v>
      </c>
    </row>
    <row r="71" spans="1:7" ht="13.2" customHeight="1" thickBot="1" x14ac:dyDescent="0.35">
      <c r="A71" s="26">
        <v>2022</v>
      </c>
      <c r="B71" s="10" t="s">
        <v>14</v>
      </c>
      <c r="C71" s="28">
        <v>215</v>
      </c>
      <c r="D71" s="15" t="s">
        <v>29</v>
      </c>
      <c r="E71" s="28">
        <v>51.7</v>
      </c>
      <c r="F71" s="12" t="s">
        <v>39</v>
      </c>
      <c r="G71" s="22">
        <f t="shared" si="1"/>
        <v>4.1586073500967116</v>
      </c>
    </row>
    <row r="72" spans="1:7" ht="13.2" customHeight="1" thickBot="1" x14ac:dyDescent="0.35">
      <c r="A72" s="26">
        <v>2022</v>
      </c>
      <c r="B72" s="10" t="s">
        <v>15</v>
      </c>
      <c r="C72" s="28">
        <v>42</v>
      </c>
      <c r="D72" s="15" t="s">
        <v>30</v>
      </c>
      <c r="E72" s="28">
        <v>30.9</v>
      </c>
      <c r="F72" s="12" t="s">
        <v>48</v>
      </c>
      <c r="G72" s="22">
        <f t="shared" si="1"/>
        <v>1.3592233009708738</v>
      </c>
    </row>
    <row r="73" spans="1:7" ht="13.2" customHeight="1" thickBot="1" x14ac:dyDescent="0.35">
      <c r="A73" s="26">
        <v>2022</v>
      </c>
      <c r="B73" s="10" t="s">
        <v>16</v>
      </c>
      <c r="C73" s="28">
        <v>68</v>
      </c>
      <c r="D73" s="15" t="s">
        <v>31</v>
      </c>
      <c r="E73" s="28">
        <v>11.7</v>
      </c>
      <c r="F73" s="12" t="s">
        <v>49</v>
      </c>
      <c r="G73" s="22">
        <f t="shared" si="1"/>
        <v>5.8119658119658126</v>
      </c>
    </row>
    <row r="74" spans="1:7" ht="13.2" customHeight="1" thickBot="1" x14ac:dyDescent="0.35">
      <c r="A74" s="26">
        <v>2022</v>
      </c>
      <c r="B74" s="10" t="s">
        <v>17</v>
      </c>
      <c r="C74" s="28">
        <v>770</v>
      </c>
      <c r="D74" s="13" t="s">
        <v>32</v>
      </c>
      <c r="E74" s="28">
        <v>63.3</v>
      </c>
      <c r="F74" s="16" t="s">
        <v>50</v>
      </c>
      <c r="G74" s="22">
        <f t="shared" si="1"/>
        <v>12.164296998420221</v>
      </c>
    </row>
    <row r="75" spans="1:7" ht="13.2" customHeight="1" thickBot="1" x14ac:dyDescent="0.35">
      <c r="A75" s="26">
        <v>2022</v>
      </c>
      <c r="B75" s="10" t="s">
        <v>18</v>
      </c>
      <c r="C75" s="28">
        <v>695</v>
      </c>
      <c r="D75" s="27" t="s">
        <v>33</v>
      </c>
      <c r="E75" s="28">
        <v>34.200000000000003</v>
      </c>
      <c r="F75" s="12" t="s">
        <v>40</v>
      </c>
      <c r="G75" s="22">
        <f t="shared" si="1"/>
        <v>20.321637426900583</v>
      </c>
    </row>
    <row r="76" spans="1:7" ht="13.2" customHeight="1" thickBot="1" x14ac:dyDescent="0.35">
      <c r="A76" s="29">
        <v>2022</v>
      </c>
      <c r="B76" s="17" t="s">
        <v>19</v>
      </c>
      <c r="C76" s="30">
        <v>4300</v>
      </c>
      <c r="D76" s="30" t="s">
        <v>34</v>
      </c>
      <c r="E76" s="31">
        <v>24.6</v>
      </c>
      <c r="F76" s="19" t="s">
        <v>41</v>
      </c>
      <c r="G76" s="22">
        <f t="shared" si="1"/>
        <v>174.79674796747966</v>
      </c>
    </row>
    <row r="77" spans="1:7" s="1" customFormat="1" ht="13.2" customHeight="1" thickBot="1" x14ac:dyDescent="0.35">
      <c r="A77" s="23">
        <v>2023</v>
      </c>
      <c r="B77" s="7" t="s">
        <v>5</v>
      </c>
      <c r="C77" s="24">
        <v>58000</v>
      </c>
      <c r="D77" s="8" t="s">
        <v>20</v>
      </c>
      <c r="E77" s="25">
        <v>316.60000000000002</v>
      </c>
      <c r="F77" s="9" t="s">
        <v>35</v>
      </c>
      <c r="G77" s="22">
        <f t="shared" si="1"/>
        <v>183.19646241313959</v>
      </c>
    </row>
    <row r="78" spans="1:7" s="1" customFormat="1" ht="13.2" customHeight="1" thickBot="1" x14ac:dyDescent="0.35">
      <c r="A78" s="26">
        <v>2023</v>
      </c>
      <c r="B78" s="10" t="s">
        <v>6</v>
      </c>
      <c r="C78" s="27">
        <v>33900</v>
      </c>
      <c r="D78" s="11" t="s">
        <v>21</v>
      </c>
      <c r="E78" s="28">
        <v>210.1</v>
      </c>
      <c r="F78" s="12" t="s">
        <v>43</v>
      </c>
      <c r="G78" s="22">
        <f t="shared" si="1"/>
        <v>161.35173726796765</v>
      </c>
    </row>
    <row r="79" spans="1:7" s="1" customFormat="1" ht="13.2" customHeight="1" thickBot="1" x14ac:dyDescent="0.35">
      <c r="A79" s="26">
        <v>2023</v>
      </c>
      <c r="B79" s="10" t="s">
        <v>7</v>
      </c>
      <c r="C79" s="27">
        <v>26900</v>
      </c>
      <c r="D79" s="13" t="s">
        <v>22</v>
      </c>
      <c r="E79" s="28">
        <v>217.8</v>
      </c>
      <c r="F79" s="12" t="s">
        <v>36</v>
      </c>
      <c r="G79" s="22">
        <f t="shared" si="1"/>
        <v>123.50780532598714</v>
      </c>
    </row>
    <row r="80" spans="1:7" s="1" customFormat="1" ht="13.2" customHeight="1" thickBot="1" x14ac:dyDescent="0.35">
      <c r="A80" s="26">
        <v>2023</v>
      </c>
      <c r="B80" s="10" t="s">
        <v>8</v>
      </c>
      <c r="C80" s="27">
        <v>30100</v>
      </c>
      <c r="D80" s="13" t="s">
        <v>23</v>
      </c>
      <c r="E80" s="28">
        <v>54</v>
      </c>
      <c r="F80" s="12" t="s">
        <v>44</v>
      </c>
      <c r="G80" s="22">
        <f t="shared" si="1"/>
        <v>557.40740740740739</v>
      </c>
    </row>
    <row r="81" spans="1:7" s="1" customFormat="1" ht="13.2" customHeight="1" thickBot="1" x14ac:dyDescent="0.35">
      <c r="A81" s="26">
        <v>2023</v>
      </c>
      <c r="B81" s="10" t="s">
        <v>9</v>
      </c>
      <c r="C81" s="27">
        <v>8500</v>
      </c>
      <c r="D81" s="14" t="s">
        <v>24</v>
      </c>
      <c r="E81" s="28">
        <v>30.7</v>
      </c>
      <c r="F81" s="12" t="s">
        <v>37</v>
      </c>
      <c r="G81" s="22">
        <f t="shared" si="1"/>
        <v>276.87296416938113</v>
      </c>
    </row>
    <row r="82" spans="1:7" s="1" customFormat="1" ht="13.2" customHeight="1" thickBot="1" x14ac:dyDescent="0.35">
      <c r="A82" s="26">
        <v>2023</v>
      </c>
      <c r="B82" s="10" t="s">
        <v>10</v>
      </c>
      <c r="C82" s="28">
        <v>875</v>
      </c>
      <c r="D82" s="13" t="s">
        <v>25</v>
      </c>
      <c r="E82" s="28">
        <v>77.8</v>
      </c>
      <c r="F82" s="12" t="s">
        <v>45</v>
      </c>
      <c r="G82" s="22">
        <f t="shared" si="1"/>
        <v>11.246786632390746</v>
      </c>
    </row>
    <row r="83" spans="1:7" s="1" customFormat="1" ht="13.2" customHeight="1" thickBot="1" x14ac:dyDescent="0.35">
      <c r="A83" s="26">
        <v>2023</v>
      </c>
      <c r="B83" s="10" t="s">
        <v>11</v>
      </c>
      <c r="C83" s="28">
        <v>315</v>
      </c>
      <c r="D83" s="15" t="s">
        <v>26</v>
      </c>
      <c r="E83" s="28">
        <v>19.3</v>
      </c>
      <c r="F83" s="12" t="s">
        <v>38</v>
      </c>
      <c r="G83" s="22">
        <f t="shared" si="1"/>
        <v>16.321243523316063</v>
      </c>
    </row>
    <row r="84" spans="1:7" ht="13.2" customHeight="1" thickBot="1" x14ac:dyDescent="0.35">
      <c r="A84" s="26">
        <v>2023</v>
      </c>
      <c r="B84" s="10" t="s">
        <v>12</v>
      </c>
      <c r="C84" s="28">
        <v>287</v>
      </c>
      <c r="D84" s="15" t="s">
        <v>27</v>
      </c>
      <c r="E84" s="28">
        <v>45.8</v>
      </c>
      <c r="F84" s="12" t="s">
        <v>46</v>
      </c>
      <c r="G84" s="22">
        <f t="shared" si="1"/>
        <v>6.2663755458515285</v>
      </c>
    </row>
    <row r="85" spans="1:7" ht="13.2" customHeight="1" thickBot="1" x14ac:dyDescent="0.35">
      <c r="A85" s="26">
        <v>2023</v>
      </c>
      <c r="B85" s="10" t="s">
        <v>13</v>
      </c>
      <c r="C85" s="28">
        <v>720</v>
      </c>
      <c r="D85" s="11" t="s">
        <v>28</v>
      </c>
      <c r="E85" s="28">
        <v>38.4</v>
      </c>
      <c r="F85" s="12" t="s">
        <v>47</v>
      </c>
      <c r="G85" s="22">
        <f t="shared" si="1"/>
        <v>18.75</v>
      </c>
    </row>
    <row r="86" spans="1:7" ht="13.2" customHeight="1" thickBot="1" x14ac:dyDescent="0.35">
      <c r="A86" s="26">
        <v>2023</v>
      </c>
      <c r="B86" s="10" t="s">
        <v>14</v>
      </c>
      <c r="C86" s="28">
        <v>198</v>
      </c>
      <c r="D86" s="15" t="s">
        <v>29</v>
      </c>
      <c r="E86" s="28">
        <v>66.099999999999994</v>
      </c>
      <c r="F86" s="12" t="s">
        <v>39</v>
      </c>
      <c r="G86" s="22">
        <f t="shared" si="1"/>
        <v>2.9954614220877462</v>
      </c>
    </row>
    <row r="87" spans="1:7" ht="13.2" customHeight="1" thickBot="1" x14ac:dyDescent="0.35">
      <c r="A87" s="26">
        <v>2023</v>
      </c>
      <c r="B87" s="10" t="s">
        <v>15</v>
      </c>
      <c r="C87" s="28">
        <v>36</v>
      </c>
      <c r="D87" s="15" t="s">
        <v>30</v>
      </c>
      <c r="E87" s="28">
        <v>31.6</v>
      </c>
      <c r="F87" s="12" t="s">
        <v>48</v>
      </c>
      <c r="G87" s="22">
        <f t="shared" si="1"/>
        <v>1.1392405063291138</v>
      </c>
    </row>
    <row r="88" spans="1:7" ht="13.2" customHeight="1" thickBot="1" x14ac:dyDescent="0.35">
      <c r="A88" s="26">
        <v>2023</v>
      </c>
      <c r="B88" s="10" t="s">
        <v>16</v>
      </c>
      <c r="C88" s="28">
        <v>59</v>
      </c>
      <c r="D88" s="15" t="s">
        <v>31</v>
      </c>
      <c r="E88" s="28">
        <v>56.1</v>
      </c>
      <c r="F88" s="12" t="s">
        <v>49</v>
      </c>
      <c r="G88" s="22">
        <f t="shared" si="1"/>
        <v>1.0516934046345812</v>
      </c>
    </row>
    <row r="89" spans="1:7" ht="13.2" customHeight="1" thickBot="1" x14ac:dyDescent="0.35">
      <c r="A89" s="26">
        <v>2023</v>
      </c>
      <c r="B89" s="10" t="s">
        <v>17</v>
      </c>
      <c r="C89" s="28">
        <v>738</v>
      </c>
      <c r="D89" s="13" t="s">
        <v>32</v>
      </c>
      <c r="E89" s="28">
        <v>64.400000000000006</v>
      </c>
      <c r="F89" s="16" t="s">
        <v>50</v>
      </c>
      <c r="G89" s="22">
        <f t="shared" si="1"/>
        <v>11.459627329192546</v>
      </c>
    </row>
    <row r="90" spans="1:7" ht="13.2" customHeight="1" thickBot="1" x14ac:dyDescent="0.35">
      <c r="A90" s="26">
        <v>2023</v>
      </c>
      <c r="B90" s="10" t="s">
        <v>18</v>
      </c>
      <c r="C90" s="28">
        <v>645</v>
      </c>
      <c r="D90" s="27" t="s">
        <v>33</v>
      </c>
      <c r="E90" s="28">
        <v>33.9</v>
      </c>
      <c r="F90" s="12" t="s">
        <v>40</v>
      </c>
      <c r="G90" s="22">
        <f t="shared" si="1"/>
        <v>19.026548672566374</v>
      </c>
    </row>
    <row r="91" spans="1:7" ht="15" thickBot="1" x14ac:dyDescent="0.35">
      <c r="A91" s="29">
        <v>2023</v>
      </c>
      <c r="B91" s="17" t="s">
        <v>19</v>
      </c>
      <c r="C91" s="30">
        <v>4100</v>
      </c>
      <c r="D91" s="30" t="s">
        <v>34</v>
      </c>
      <c r="E91" s="31">
        <v>26.8</v>
      </c>
      <c r="F91" s="19" t="s">
        <v>41</v>
      </c>
      <c r="G91" s="35">
        <f t="shared" si="1"/>
        <v>152.98507462686567</v>
      </c>
    </row>
  </sheetData>
  <hyperlinks>
    <hyperlink ref="D2" r:id="rId1" xr:uid="{952F1014-03ED-4E8B-B39E-053D95C21413}"/>
    <hyperlink ref="D32" r:id="rId2" xr:uid="{0A717264-0981-41D8-9845-5E0204015BDA}"/>
    <hyperlink ref="D47" r:id="rId3" xr:uid="{43747732-0F86-4ABE-90A5-86CE309E725A}"/>
    <hyperlink ref="D62" r:id="rId4" xr:uid="{31C52AC6-C5D7-4823-9503-7F4E7B3B456C}"/>
    <hyperlink ref="D77" r:id="rId5" xr:uid="{28389B15-CF6A-4F32-9DBB-CFB052D9DA46}"/>
    <hyperlink ref="D17" r:id="rId6" xr:uid="{7A885BA6-590B-4D13-A9AE-F0A32848779F}"/>
    <hyperlink ref="F2" r:id="rId7" xr:uid="{4FC100BA-7E59-4BBC-8137-8F6E017B335D}"/>
    <hyperlink ref="F3" r:id="rId8" xr:uid="{D01E3207-7C65-4860-BD4D-0B19700A8975}"/>
    <hyperlink ref="F4" r:id="rId9" xr:uid="{880143A0-976F-4C91-923C-D42CC99DFC38}"/>
    <hyperlink ref="F5" r:id="rId10" xr:uid="{27A2A613-F640-4071-9E40-ECB78391FC00}"/>
    <hyperlink ref="F6" r:id="rId11" xr:uid="{C2D80189-FD66-44DB-8C13-4DB5916CA4D6}"/>
    <hyperlink ref="F7" r:id="rId12" xr:uid="{5F671BDA-6CE3-4D1D-A04C-06A069B88935}"/>
    <hyperlink ref="F8" r:id="rId13" xr:uid="{1B20F5CF-B39F-4C26-BB49-DF7A0137659E}"/>
    <hyperlink ref="F9" r:id="rId14" xr:uid="{BE186A09-32CF-4A90-9A21-5247DDBA517E}"/>
    <hyperlink ref="F10" r:id="rId15" xr:uid="{1ABBBEAF-FA8A-4382-81B6-DAEA17196546}"/>
    <hyperlink ref="F11" r:id="rId16" xr:uid="{7D73BE52-C8A6-4735-A842-78B5C0E6ECEA}"/>
    <hyperlink ref="F12" r:id="rId17" xr:uid="{81506D06-5FAD-48FC-9F0C-DA85D2312F00}"/>
    <hyperlink ref="F13" r:id="rId18" xr:uid="{6C81CA69-BC4F-4383-986F-8D75669844E9}"/>
    <hyperlink ref="F15" r:id="rId19" xr:uid="{AA13570A-4B0B-4827-BE21-774C620DE723}"/>
    <hyperlink ref="F16" r:id="rId20" xr:uid="{DA8D7C7B-9556-46E0-9BF7-8B16718EABD7}"/>
    <hyperlink ref="F17" r:id="rId21" xr:uid="{D4D6DA3F-6F34-434A-8AC8-23F02C9A2DEC}"/>
    <hyperlink ref="F18" r:id="rId22" xr:uid="{AFA37B59-6127-4305-BA1C-AC9959AAFD2E}"/>
    <hyperlink ref="F19" r:id="rId23" xr:uid="{9A92F7CA-14F5-4256-B630-F42DB4F52F54}"/>
    <hyperlink ref="F20" r:id="rId24" xr:uid="{01A1B3C8-378E-41E2-B3DF-74DEA461E5BB}"/>
    <hyperlink ref="F21" r:id="rId25" xr:uid="{C117FC9D-A3C0-4FB7-ACFA-03D970C3BA30}"/>
    <hyperlink ref="F22" r:id="rId26" xr:uid="{AB7BE3FE-510C-4722-8F4C-5C01BE4A4A52}"/>
    <hyperlink ref="F23" r:id="rId27" xr:uid="{F9C13BFD-402F-4265-86CB-F49C733A1AE3}"/>
    <hyperlink ref="F24" r:id="rId28" xr:uid="{E0B258D7-56D2-4124-89D1-11E4BA10CAC0}"/>
    <hyperlink ref="F25" r:id="rId29" xr:uid="{5BF34DDD-DD06-47D0-9AA7-FBAD6B8EAF48}"/>
    <hyperlink ref="F26" r:id="rId30" xr:uid="{4DC75CFA-7D19-44B6-8F3F-C98CEBC5592A}"/>
    <hyperlink ref="F27" r:id="rId31" xr:uid="{A6C7D841-CF50-4F41-AA68-531DE491697E}"/>
    <hyperlink ref="F28" r:id="rId32" xr:uid="{93B2D6C6-1B40-46C1-82C9-CB5867F5D5D5}"/>
    <hyperlink ref="F30" r:id="rId33" xr:uid="{F68BDE56-C34D-49AD-A8E1-02221CFED081}"/>
    <hyperlink ref="F31" r:id="rId34" xr:uid="{1CB37830-A4B0-43B8-B48D-3CE49D146035}"/>
    <hyperlink ref="F32" r:id="rId35" xr:uid="{0F346813-FFD8-4D16-97C5-CF130E8B3960}"/>
    <hyperlink ref="F33" r:id="rId36" xr:uid="{563C84A2-081B-4EDE-885D-5795583E1B10}"/>
    <hyperlink ref="F34" r:id="rId37" xr:uid="{3A592472-6836-4599-BCB6-FBA973F86AE9}"/>
    <hyperlink ref="F35" r:id="rId38" xr:uid="{CFD11025-FF39-4148-B50D-CEFB5795C95C}"/>
    <hyperlink ref="F36" r:id="rId39" xr:uid="{29557414-228D-47F9-856F-7D4D9E0626EA}"/>
    <hyperlink ref="F37" r:id="rId40" xr:uid="{5F8889C0-DC6D-4BC7-A30B-8BCF794AF977}"/>
    <hyperlink ref="F38" r:id="rId41" xr:uid="{5766EFC4-6932-4524-B845-CC2986FB9377}"/>
    <hyperlink ref="F39" r:id="rId42" xr:uid="{DF000A34-F830-4822-A052-359ADF870305}"/>
    <hyperlink ref="F40" r:id="rId43" xr:uid="{14D9749F-EC7D-4107-A4B5-348F632ECE0A}"/>
    <hyperlink ref="F41" r:id="rId44" xr:uid="{D3EACB3E-50A7-43AC-AAF0-D1697B0DDEE9}"/>
    <hyperlink ref="F42" r:id="rId45" xr:uid="{1F7917B1-D8F3-473E-84BE-142DCD886E71}"/>
    <hyperlink ref="F43" r:id="rId46" xr:uid="{9368E90A-7F89-4AB7-8B75-69CBEC2C29A3}"/>
    <hyperlink ref="F45" r:id="rId47" xr:uid="{8C14B58F-4A27-4CFF-B1A1-09157488B65C}"/>
    <hyperlink ref="F46" r:id="rId48" xr:uid="{616CC91D-1057-4F8E-B1EA-09FDFA3A73FB}"/>
    <hyperlink ref="F47" r:id="rId49" xr:uid="{3D27ECD0-F5EA-4912-89A8-1CDAD5AF470D}"/>
    <hyperlink ref="F48" r:id="rId50" xr:uid="{888BE91B-6CDD-4A62-BDFF-4050265E5C62}"/>
    <hyperlink ref="F49" r:id="rId51" xr:uid="{04805D5A-00A9-423A-80AB-E459D56A16FA}"/>
    <hyperlink ref="F50" r:id="rId52" xr:uid="{52182C08-FCA0-4129-864A-03771279A2D1}"/>
    <hyperlink ref="F51" r:id="rId53" xr:uid="{348D59F8-C32A-43A8-8122-1E46E8788067}"/>
    <hyperlink ref="F52" r:id="rId54" xr:uid="{30D10A20-79E2-478F-96C9-F767191EDB66}"/>
    <hyperlink ref="F53" r:id="rId55" xr:uid="{35BA06CF-4AC4-4919-B14B-CF9DCF3CCE67}"/>
    <hyperlink ref="F54" r:id="rId56" xr:uid="{BDE2FEA2-8818-45D9-9A87-637A38EB3961}"/>
    <hyperlink ref="F55" r:id="rId57" xr:uid="{821599A1-152F-4DF9-9ACD-A1D8E50C420F}"/>
    <hyperlink ref="F56" r:id="rId58" xr:uid="{E4542889-1AF7-4140-AD2C-8DC88615C0D4}"/>
    <hyperlink ref="F57" r:id="rId59" xr:uid="{74746651-CF3A-48E7-9688-4F59C64AB3E4}"/>
    <hyperlink ref="F58" r:id="rId60" xr:uid="{92584284-9647-428F-9FCD-9C0CE5D2B088}"/>
    <hyperlink ref="F60" r:id="rId61" xr:uid="{460CBD38-E7B2-4C10-ABC4-DE0036FD1049}"/>
    <hyperlink ref="F61" r:id="rId62" xr:uid="{EDB97E82-325B-4562-B515-CF7683BB5FF6}"/>
    <hyperlink ref="F62" r:id="rId63" xr:uid="{DEE295EC-B3DC-4AD0-9017-F20F84FB6D4A}"/>
    <hyperlink ref="F63" r:id="rId64" xr:uid="{AB0C9BCE-433D-4F62-A095-78E2066F4B56}"/>
    <hyperlink ref="F64" r:id="rId65" xr:uid="{85632977-272C-4EB5-BB62-A00F9C96B40A}"/>
    <hyperlink ref="F65" r:id="rId66" xr:uid="{A892850C-A5F4-449C-AB39-DF0ECBF10522}"/>
    <hyperlink ref="F66" r:id="rId67" xr:uid="{680B2328-8997-4BA9-AB7C-8BA40152D217}"/>
    <hyperlink ref="F67" r:id="rId68" xr:uid="{7EAE0D97-3F27-406F-A0E0-F6296979ABB4}"/>
    <hyperlink ref="F68" r:id="rId69" xr:uid="{6E020169-1C92-4E71-B716-E83322545DC0}"/>
    <hyperlink ref="F69" r:id="rId70" xr:uid="{A477972F-3705-42FD-925F-655579AEA7E5}"/>
    <hyperlink ref="F70" r:id="rId71" xr:uid="{582D9609-0312-4D22-8368-4CACD8A93573}"/>
    <hyperlink ref="F71" r:id="rId72" xr:uid="{1E82B2AD-7004-4D67-862B-EC6CAC7B636B}"/>
    <hyperlink ref="F72" r:id="rId73" xr:uid="{77281EEB-F49F-4314-8E41-5630C604621C}"/>
    <hyperlink ref="F73" r:id="rId74" xr:uid="{3ADD3B96-9970-4D74-AFEC-1C0C5A6BE1C6}"/>
    <hyperlink ref="F75" r:id="rId75" xr:uid="{BDC9580A-90C3-4679-AD84-0FB1BF110715}"/>
    <hyperlink ref="F76" r:id="rId76" xr:uid="{6807D8B6-1AB9-4F28-9B01-B52EC5CA573A}"/>
    <hyperlink ref="F77" r:id="rId77" xr:uid="{1DF2DA53-60E5-426E-BC13-F76DAF0C6890}"/>
    <hyperlink ref="F78" r:id="rId78" xr:uid="{18BD509F-4929-404B-9478-C6BD0DB66314}"/>
    <hyperlink ref="F79" r:id="rId79" xr:uid="{9A9A7665-5EA1-4725-89A4-3E3B68DE5410}"/>
    <hyperlink ref="F80" r:id="rId80" xr:uid="{AA8C260E-964E-442D-85BA-9C9794AB06AF}"/>
    <hyperlink ref="F81" r:id="rId81" xr:uid="{77732814-A5E6-4AB7-B075-7BA4F9E4DDCE}"/>
    <hyperlink ref="F82" r:id="rId82" xr:uid="{B89E54A3-97B6-401C-941D-4E01B12480F3}"/>
    <hyperlink ref="F83" r:id="rId83" xr:uid="{09847B16-35D0-4E7C-B326-B55F3FFAFB19}"/>
    <hyperlink ref="F84" r:id="rId84" xr:uid="{BAC80CDF-69F8-419E-ADD7-A4098F6DC48C}"/>
    <hyperlink ref="F85" r:id="rId85" xr:uid="{864C75F7-91D2-4A63-BCCB-5AADD0B13D7B}"/>
    <hyperlink ref="F86" r:id="rId86" xr:uid="{0C87E0EF-401E-43FA-BDA4-67FADE50C645}"/>
    <hyperlink ref="F87" r:id="rId87" xr:uid="{65979197-6D3A-4EBD-8EBD-6447691C8ABF}"/>
    <hyperlink ref="F88" r:id="rId88" xr:uid="{674F674B-D3F9-4EA8-9D49-F4E0B1B2B4A0}"/>
    <hyperlink ref="F90" r:id="rId89" xr:uid="{CB9F0184-EB63-4DE0-8755-C43933E4B0B1}"/>
    <hyperlink ref="F91" r:id="rId90" xr:uid="{3E53E785-4EFA-416F-8E39-FB1F3FFAB6C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Module 2_CarbonEmissions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Agnes Foss Wiborg</dc:creator>
  <cp:lastModifiedBy>Agnes Foss Wiborg</cp:lastModifiedBy>
  <dcterms:created xsi:type="dcterms:W3CDTF">2026-04-07T15:46:00Z</dcterms:created>
  <dcterms:modified xsi:type="dcterms:W3CDTF">2026-04-07T20:30:09Z</dcterms:modified>
</cp:coreProperties>
</file>